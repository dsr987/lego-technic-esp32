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b7fef3552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рт" sheetId="1" r:id="R424e3368174b474d"/>
    <x:sheet xmlns:r="http://schemas.openxmlformats.org/officeDocument/2006/relationships" name="Настройки" sheetId="2" r:id="Rafa4822303134568"/>
    <x:sheet xmlns:r="http://schemas.openxmlformats.org/officeDocument/2006/relationships" name="Размеры" sheetId="3" r:id="Re5259b14dfff4356"/>
    <x:sheet xmlns:r="http://schemas.openxmlformats.org/officeDocument/2006/relationships" name="L-сетка" sheetId="4" r:id="R1fdaa2d6aba9428b"/>
    <x:sheet xmlns:r="http://schemas.openxmlformats.org/officeDocument/2006/relationships" name="Посадки и FDM" sheetId="5" r:id="R8c317b84db7e4783"/>
    <x:sheet xmlns:r="http://schemas.openxmlformats.org/officeDocument/2006/relationships" name="Уточнить" sheetId="6" r:id="Rd863e2f4e3844661"/>
    <x:sheet xmlns:r="http://schemas.openxmlformats.org/officeDocument/2006/relationships" name="Источники" sheetId="7" r:id="R19c4974947e3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i/>
      <x:sz val="10"/>
      <x:color rgb="FF7F6000"/>
      <x:name val="Aptos"/>
    </x:font>
    <x:font>
      <x:b/>
      <x:sz val="16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200" fontId="0" fillId="0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200" fontId="0" fillId="7" borderId="3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20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20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200" fontId="0" fillId="8" borderId="16" xfId="0" applyNumberFormat="1" applyFont="1" applyFill="1" applyBorder="1" applyAlignment="1">
      <x:alignment vertical="center" wrapText="1"/>
    </x:xf>
    <x:xf numFmtId="0" fontId="0" fillId="8" borderId="17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12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200" fontId="6" fillId="0" borderId="11" xfId="0" applyNumberFormat="1" applyFont="1" applyFill="1" applyBorder="1" applyAlignment="1">
      <x:alignment horizontal="center"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7" fillId="3" borderId="13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7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horizontal="center"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20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0" fontId="6" fillId="7" borderId="0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200" fontId="6" fillId="8" borderId="0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vertical="center"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200" fontId="6" fillId="8" borderId="8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20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0" fontId="6" fillId="7" borderId="1" xfId="0" applyNumberFormat="1" applyFont="1" applyFill="1" applyBorder="1" applyAlignment="1">
      <x:alignment vertical="center" wrapText="1"/>
    </x:xf>
    <x:xf numFmtId="0" fontId="6" fillId="7" borderId="14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200" fontId="6" fillId="4" borderId="1" xfId="0" applyNumberFormat="1" applyFont="1" applyFill="1" applyBorder="1" applyAlignment="1">
      <x:alignment vertical="center" wrapText="1"/>
    </x:xf>
    <x:xf numFmtId="0" fontId="6" fillId="4" borderId="14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6" fillId="8" borderId="13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200" fontId="6" fillId="8" borderId="1" xfId="0" applyNumberFormat="1" applyFont="1" applyFill="1" applyBorder="1" applyAlignment="1">
      <x:alignment vertical="center" wrapText="1"/>
    </x:xf>
    <x:xf numFmtId="0" fontId="6" fillId="8" borderId="14" xfId="0" applyNumberFormat="1" applyFont="1" applyFill="1" applyBorder="1" applyAlignment="1">
      <x:alignment vertical="center" wrapText="1"/>
    </x:xf>
    <x:xf numFmtId="0" fontId="6" fillId="8" borderId="15" xfId="0" applyNumberFormat="1" applyFont="1" applyFill="1" applyBorder="1" applyAlignment="1">
      <x:alignment vertical="center" wrapText="1"/>
    </x:xf>
    <x:xf numFmtId="0" fontId="6" fillId="8" borderId="16" xfId="0" applyNumberFormat="1" applyFont="1" applyFill="1" applyBorder="1" applyAlignment="1">
      <x:alignment vertical="center" wrapText="1"/>
    </x:xf>
    <x:xf numFmtId="200" fontId="6" fillId="8" borderId="16" xfId="0" applyNumberFormat="1" applyFont="1" applyFill="1" applyBorder="1" applyAlignment="1">
      <x:alignment vertical="center" wrapText="1"/>
    </x:xf>
    <x:xf numFmtId="0" fontId="6" fillId="8" borderId="17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200" fontId="6" fillId="0" borderId="8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200" fontId="6" fillId="0" borderId="11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200" fontId="6" fillId="0" borderId="16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6" fillId="8" borderId="10" xfId="0" applyNumberFormat="1" applyFont="1" applyFill="1" applyBorder="1" applyAlignment="1">
      <x:alignment vertical="center" wrapText="1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12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1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a24bee699474f" /><Relationship Type="http://schemas.openxmlformats.org/officeDocument/2006/relationships/theme" Target="/xl/theme/theme1.xml" Id="R23eab4bfc5854c35" /><Relationship Type="http://schemas.openxmlformats.org/officeDocument/2006/relationships/sharedStrings" Target="/xl/sharedStrings.xml" Id="R53cf1b2e11b54b62" /><Relationship Type="http://schemas.openxmlformats.org/officeDocument/2006/relationships/worksheet" Target="/xl/worksheets/sheet1.xml" Id="R424e3368174b474d" /><Relationship Type="http://schemas.openxmlformats.org/officeDocument/2006/relationships/worksheet" Target="/xl/worksheets/sheet2.xml" Id="Rafa4822303134568" /><Relationship Type="http://schemas.openxmlformats.org/officeDocument/2006/relationships/worksheet" Target="/xl/worksheets/sheet3.xml" Id="Re5259b14dfff4356" /><Relationship Type="http://schemas.openxmlformats.org/officeDocument/2006/relationships/worksheet" Target="/xl/worksheets/sheet4.xml" Id="R1fdaa2d6aba9428b" /><Relationship Type="http://schemas.openxmlformats.org/officeDocument/2006/relationships/worksheet" Target="/xl/worksheets/sheet5.xml" Id="R8c317b84db7e4783" /><Relationship Type="http://schemas.openxmlformats.org/officeDocument/2006/relationships/worksheet" Target="/xl/worksheets/sheet6.xml" Id="Rd863e2f4e3844661" /><Relationship Type="http://schemas.openxmlformats.org/officeDocument/2006/relationships/worksheet" Target="/xl/worksheets/sheet7.xml" Id="R19c4974947e348ef" /></Relationships>
</file>

<file path=xl/tables/table1.xml><?xml version="1.0" encoding="utf-8"?>
<x:table xmlns:x="http://schemas.openxmlformats.org/spreadsheetml/2006/main" id="1" name="TechnicDimensionRegister" displayName="TechnicDimensionRegister" ref="A3:L36" headerRowCount="1" totalsRowCount="0" totalsRowShown="0">
  <x:tableColumns count="12">
    <x:tableColumn id="1" name="ID"/>
    <x:tableColumn id="2" name="Узел"/>
    <x:tableColumn id="3" name="Параметр"/>
    <x:tableColumn id="4" name="Ось"/>
    <x:tableColumn id="5" name="Обозначение / источник"/>
    <x:tableColumn id="6" name="Размер на чертеже, мм"/>
    <x:tableColumn id="7" name="Номинал для совместимости, мм"/>
    <x:tableColumn id="8" name="Класс размера"/>
    <x:tableColumn id="9" name="Δ CAD, мм"/>
    <x:tableColumn id="10" name="CAD-цель, мм"/>
    <x:tableColumn id="11" name="Уверенность"/>
    <x:tableColumn id="12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f4b213be46a4ad2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230" t="str">
        <x:v>LEGO Technic — размерная сетка и параметры для 3D-печати</x:v>
      </x:c>
      <x:c r="B1" s="230"/>
      <x:c r="C1" s="230"/>
      <x:c r="D1" s="230"/>
      <x:c r="E1" s="230"/>
      <x:c r="F1" s="230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45" customHeight="1">
      <x:c r="A3" s="138" t="str">
        <x:v>Назначение файла</x:v>
      </x:c>
      <x:c r="B3" s="139" t="str">
        <x:v>Рабочий справочник для CAD-модели, совместимой с сеткой LEGO Technic; разделяет номиналы, размеры из чертежей и ещё не подтверждённые места.</x:v>
      </x:c>
      <x:c r="C3" s="137"/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 ht="45" customHeight="1">
      <x:c r="A4" s="138" t="str">
        <x:v>Система координат</x:v>
      </x:c>
      <x:c r="B4" s="139" t="str">
        <x:v>X — вдоль балки; Y — поперёк ширины; Z — высота/толщина. Для балки, лежащей широкой гранью вниз, отверстия проходят по Z.</x:v>
      </x:c>
      <x:c r="C4" s="137"/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 ht="45" customHeight="1">
      <x:c r="A5" s="138" t="str">
        <x:v>Базовая сетка</x:v>
      </x:c>
      <x:c r="B5" s="139" t="str">
        <x:v>Межосевой шаг Technic принят 8.00 мм. Поэтому L = 8.00 мм; позиции отверстий задаются кратными L.</x:v>
      </x:c>
      <x:c r="C5" s="137"/>
      <x:c r="D5" s="137"/>
      <x:c r="E5" s="137"/>
      <x:c r="F5" s="137"/>
      <x:c r="G5" s="137"/>
      <x:c r="H5" s="137"/>
      <x:c r="I5" s="137"/>
      <x:c r="J5" s="137"/>
      <x:c r="K5" s="137"/>
      <x:c r="L5" s="137"/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 ht="45" customHeight="1">
      <x:c r="A6" s="138" t="str">
        <x:v>Размеры из пользовательских изображений</x:v>
      </x:c>
      <x:c r="B6" s="139" t="str">
        <x:v>Отмечены как «чертёж 1/2/3». Если изображение расходится с общим шагом LEGO, расхождение сохранено как наблюдение, а не принято за новый стандарт.</x:v>
      </x:c>
      <x:c r="C6" s="137"/>
      <x:c r="D6" s="137"/>
      <x:c r="E6" s="137"/>
      <x:c r="F6" s="137"/>
      <x:c r="G6" s="137"/>
      <x:c r="H6" s="137"/>
      <x:c r="I6" s="137"/>
      <x:c r="J6" s="137"/>
      <x:c r="K6" s="137"/>
      <x:c r="L6" s="137"/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 ht="45" customHeight="1">
      <x:c r="A7" s="138" t="str">
        <x:v>Зазор для CAD</x:v>
      </x:c>
      <x:c r="B7" s="139" t="str">
        <x:v>В Настройках выбран +0.02 мм диаметрально для внутренних отверстий/контррасточек/пазов — ровно в пределах заданных 0.01–0.02 мм. Наружные габариты и межосевые расстояния не увеличиваются.</x:v>
      </x:c>
      <x:c r="C7" s="137"/>
      <x:c r="D7" s="137"/>
      <x:c r="E7" s="137"/>
      <x:c r="F7" s="137"/>
      <x:c r="G7" s="137"/>
      <x:c r="H7" s="137"/>
      <x:c r="I7" s="137"/>
      <x:c r="J7" s="137"/>
      <x:c r="K7" s="137"/>
      <x:c r="L7" s="137"/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 ht="45" customHeight="1">
      <x:c r="A8" s="138" t="str">
        <x:v>Важно про FDM</x:v>
      </x:c>
      <x:c r="B8" s="139" t="str">
        <x:v>Зазор 0.01–0.02 мм мал по сравнению с типичными погрешностями FDM-печати и сам по себе не гарантирует компенсацию усадки/экструзии. Сохраните его как исходное требование и подтвердите посадку тестовым купоном; не применять глобальный масштаб к детали.</x:v>
      </x:c>
      <x:c r="C8" s="137"/>
      <x:c r="D8" s="137"/>
      <x:c r="E8" s="137"/>
      <x:c r="F8" s="137"/>
      <x:c r="G8" s="137"/>
      <x:c r="H8" s="137"/>
      <x:c r="I8" s="137"/>
      <x:c r="J8" s="137"/>
      <x:c r="K8" s="137"/>
      <x:c r="L8" s="137"/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>
      <x:c r="A9" s="137"/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37"/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 ht="34" customHeight="1">
      <x:c r="A10" s="140" t="str">
        <x:v>Цветовая легенда: жёлтый — конфликт/неподтверждённый номинал; зелёный — подтверждается несколькими ссылками/чертежами; красноватый — нужно уточнить перед финальной CAD-геометрией.</x:v>
      </x:c>
      <x:c r="B10" s="140"/>
      <x:c r="C10" s="140"/>
      <x:c r="D10" s="140"/>
      <x:c r="E10" s="140"/>
      <x:c r="F10" s="140"/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 ht="52" customHeight="1">
      <x:c r="A12" s="141" t="str">
        <x:v>Ключевые решения на данный момент: шаг сетки 8 мм; отверстие под круглое сопряжение — номинально Ø4.8 мм; типовая контррасточка Ø6.0–6.2 мм глубиной около 0.8–0.9 мм; базовая толщина/ширина толстого Technic beam — около 7.8 мм. Для реальной детали нужно не подменять друг другом контррасточку, фаску и защёлкивающий профиль.</x:v>
      </x:c>
      <x:c r="B12" s="141"/>
      <x:c r="C12" s="141"/>
      <x:c r="D12" s="141"/>
      <x:c r="E12" s="141"/>
      <x:c r="F12" s="141"/>
      <x:c r="G12" s="137"/>
      <x:c r="H12" s="137"/>
      <x:c r="I12" s="137"/>
      <x:c r="J12" s="137"/>
      <x:c r="K12" s="137"/>
      <x:c r="L12" s="137"/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37"/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F1"/>
    <x:mergeCell ref="A10:F10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72" hidden="0" customWidth="1"/>
  </x:cols>
  <x:sheetData>
    <x:row r="1" ht="30" customHeight="1">
      <x:c r="A1" s="230" t="str">
        <x:v>Параметры модели — редактируемые значения</x:v>
      </x:c>
      <x:c r="B1" s="230"/>
      <x:c r="C1" s="230"/>
      <x:c r="D1" s="230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32" customHeight="1">
      <x:c r="A3" s="148" t="str">
        <x:v>Параметр</x:v>
      </x:c>
      <x:c r="B3" s="148" t="str">
        <x:v>Значение</x:v>
      </x:c>
      <x:c r="C3" s="148" t="str">
        <x:v>Единицы / пояснение</x:v>
      </x:c>
      <x:c r="D3" s="137"/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>
      <x:c r="A4" s="149" t="str">
        <x:v>Шаг сетки L</x:v>
      </x:c>
      <x:c r="B4" s="150" t="n">
        <x:v>8</x:v>
      </x:c>
      <x:c r="C4" s="151" t="str">
        <x:v>мм; центры соседних отверстий</x:v>
      </x:c>
      <x:c r="D4" s="137"/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>
      <x:c r="A5" s="152" t="str">
        <x:v>Добавочный CAD-зазор</x:v>
      </x:c>
      <x:c r="B5" s="153" t="n">
        <x:v>0.02</x:v>
      </x:c>
      <x:c r="C5" s="154" t="str">
        <x:v>мм диаметрально; применяется только к внутренним отверстиям, контррасточкам и пазам</x:v>
      </x:c>
      <x:c r="D5" s="137"/>
      <x:c r="E5" s="137"/>
      <x:c r="F5" s="137"/>
      <x:c r="G5" s="137"/>
      <x:c r="H5" s="137"/>
      <x:c r="I5" s="137"/>
      <x:c r="J5" s="137"/>
      <x:c r="K5" s="137"/>
      <x:c r="L5" s="137"/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>
      <x:c r="A6" s="152" t="str">
        <x:v>Минимум из требования</x:v>
      </x:c>
      <x:c r="B6" s="153" t="n">
        <x:v>0.01</x:v>
      </x:c>
      <x:c r="C6" s="154" t="str">
        <x:v>мм; задано пользователем</x:v>
      </x:c>
      <x:c r="D6" s="137"/>
      <x:c r="E6" s="137"/>
      <x:c r="F6" s="137"/>
      <x:c r="G6" s="137"/>
      <x:c r="H6" s="137"/>
      <x:c r="I6" s="137"/>
      <x:c r="J6" s="137"/>
      <x:c r="K6" s="137"/>
      <x:c r="L6" s="137"/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>
      <x:c r="A7" s="152" t="str">
        <x:v>Максимум из требования</x:v>
      </x:c>
      <x:c r="B7" s="153" t="n">
        <x:v>0.02</x:v>
      </x:c>
      <x:c r="C7" s="154" t="str">
        <x:v>мм; задано пользователем</x:v>
      </x:c>
      <x:c r="D7" s="137"/>
      <x:c r="E7" s="137"/>
      <x:c r="F7" s="137"/>
      <x:c r="G7" s="137"/>
      <x:c r="H7" s="137"/>
      <x:c r="I7" s="137"/>
      <x:c r="J7" s="137"/>
      <x:c r="K7" s="137"/>
      <x:c r="L7" s="137"/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>
      <x:c r="A8" s="152" t="str">
        <x:v>Радиальный зазор на сторону</x:v>
      </x:c>
      <x:c r="B8" s="153" t="n">
        <x:f>B5/2</x:f>
        <x:v>0.01</x:v>
      </x:c>
      <x:c r="C8" s="154" t="str">
        <x:v>мм; половина выбранного диаметрального зазора</x:v>
      </x:c>
      <x:c r="D8" s="137"/>
      <x:c r="E8" s="137"/>
      <x:c r="F8" s="137"/>
      <x:c r="G8" s="137"/>
      <x:c r="H8" s="137"/>
      <x:c r="I8" s="137"/>
      <x:c r="J8" s="137"/>
      <x:c r="K8" s="137"/>
      <x:c r="L8" s="137"/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>
      <x:c r="A9" s="155" t="str">
        <x:v>Принцип</x:v>
      </x:c>
      <x:c r="B9" s="156" t="str">
        <x:v>Локальный</x:v>
      </x:c>
      <x:c r="C9" s="157" t="str">
        <x:v>Не применять к X/Y/Z-габаритам и межосевым размерам</x:v>
      </x:c>
      <x:c r="D9" s="137"/>
      <x:c r="E9" s="137"/>
      <x:c r="F9" s="137"/>
      <x:c r="G9" s="137"/>
      <x:c r="H9" s="137"/>
      <x:c r="I9" s="137"/>
      <x:c r="J9" s="137"/>
      <x:c r="K9" s="137"/>
      <x:c r="L9" s="137"/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 ht="30" customHeight="1">
      <x:c r="A11" s="158" t="str">
        <x:v>Важно: выбранные 0.02 мм — это только численное требование к CAD. Реальный свободный ход зависит от принтера, пластика, ориентации печати, ширины линии, компенсации отверстий и усадки. Значения для печатной детали следует подтвердить пробной матрицей отверстий.</x:v>
      </x:c>
      <x:c r="B11" s="158"/>
      <x:c r="C11" s="158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 ht="30" customHeight="1">
      <x:c r="A12" s="158"/>
      <x:c r="B12" s="158"/>
      <x:c r="C12" s="158"/>
      <x:c r="D12" s="137"/>
      <x:c r="E12" s="137"/>
      <x:c r="F12" s="137"/>
      <x:c r="G12" s="137"/>
      <x:c r="H12" s="137"/>
      <x:c r="I12" s="137"/>
      <x:c r="J12" s="137"/>
      <x:c r="K12" s="137"/>
      <x:c r="L12" s="137"/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37"/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D1"/>
    <x:mergeCell ref="A11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3" hidden="0" customWidth="1"/>
    <x:col min="3" max="3" width="38" hidden="0" customWidth="1"/>
    <x:col min="4" max="4" width="17" hidden="0" customWidth="1"/>
    <x:col min="5" max="5" width="30" hidden="0" customWidth="1"/>
    <x:col min="6" max="6" width="18" hidden="0" customWidth="1"/>
    <x:col min="7" max="7" width="18" hidden="0" customWidth="1"/>
    <x:col min="8" max="8" width="23" hidden="0" customWidth="1"/>
    <x:col min="9" max="9" width="14" hidden="0" customWidth="1"/>
    <x:col min="10" max="10" width="14" hidden="0" customWidth="1"/>
    <x:col min="11" max="11" width="17" hidden="0" customWidth="1"/>
    <x:col min="12" max="12" width="66" hidden="0" customWidth="1"/>
  </x:cols>
  <x:sheetData>
    <x:row r="1" ht="30" customHeight="1">
      <x:c r="A1" s="230" t="str">
        <x:v>Размерный реестр — исходные размеры, номиналы и CAD-значения</x:v>
      </x:c>
      <x:c r="B1" s="230"/>
      <x:c r="C1" s="230"/>
      <x:c r="D1" s="230"/>
      <x:c r="E1" s="230"/>
      <x:c r="F1" s="230"/>
      <x:c r="G1" s="230"/>
      <x:c r="H1" s="230"/>
      <x:c r="I1" s="230"/>
      <x:c r="J1" s="230"/>
      <x:c r="K1" s="230"/>
      <x:c r="L1" s="230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32" customHeight="1">
      <x:c r="A3" s="148" t="str">
        <x:v>ID</x:v>
      </x:c>
      <x:c r="B3" s="148" t="str">
        <x:v>Узел</x:v>
      </x:c>
      <x:c r="C3" s="148" t="str">
        <x:v>Параметр</x:v>
      </x:c>
      <x:c r="D3" s="148" t="str">
        <x:v>Ось</x:v>
      </x:c>
      <x:c r="E3" s="148" t="str">
        <x:v>Обозначение / источник</x:v>
      </x:c>
      <x:c r="F3" s="148" t="str">
        <x:v>Размер на чертеже, мм</x:v>
      </x:c>
      <x:c r="G3" s="148" t="str">
        <x:v>Номинал для совместимости, мм</x:v>
      </x:c>
      <x:c r="H3" s="148" t="str">
        <x:v>Класс размера</x:v>
      </x:c>
      <x:c r="I3" s="148" t="str">
        <x:v>Δ CAD, мм</x:v>
      </x:c>
      <x:c r="J3" s="148" t="str">
        <x:v>CAD-цель, мм</x:v>
      </x:c>
      <x:c r="K3" s="148" t="str">
        <x:v>Уверенность</x:v>
      </x:c>
      <x:c r="L3" s="148" t="str">
        <x:v>Примечание</x:v>
      </x:c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 ht="42" customHeight="1">
      <x:c r="A4" s="170" t="str">
        <x:v>D01</x:v>
      </x:c>
      <x:c r="B4" s="171" t="str">
        <x:v>Сетка Technic</x:v>
      </x:c>
      <x:c r="C4" s="171" t="str">
        <x:v>Шаг соседних отверстий</x:v>
      </x:c>
      <x:c r="D4" s="171" t="str">
        <x:v>X</x:v>
      </x:c>
      <x:c r="E4" s="171" t="str">
        <x:v>Стандартная сетка / чертёж 2</x:v>
      </x:c>
      <x:c r="F4" s="172" t="n">
        <x:v>7.97</x:v>
      </x:c>
      <x:c r="G4" s="172" t="n">
        <x:v>8</x:v>
      </x:c>
      <x:c r="H4" s="172" t="str">
        <x:v>Межосевое</x:v>
      </x:c>
      <x:c r="I4" s="172" t="n">
        <x:f>IF(OR(H4="Отверстие",H4="Контррасточка",H4="Внутренний профиль/паз"),Настройки!$B$5,0)</x:f>
        <x:v>0</x:v>
      </x:c>
      <x:c r="J4" s="172" t="n">
        <x:f>IF(G4="","",G4+I4)</x:f>
        <x:v>8</x:v>
      </x:c>
      <x:c r="K4" s="171" t="str">
        <x:v>Высокая</x:v>
      </x:c>
      <x:c r="L4" s="173" t="str">
        <x:v>На чертеже 2 измерено 7.97 мм; целевой стандартный шаг — 8.00 мм.</x:v>
      </x:c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 ht="42" customHeight="1">
      <x:c r="A5" s="174" t="str">
        <x:v>D02</x:v>
      </x:c>
      <x:c r="B5" s="175" t="str">
        <x:v>Сетка Technic</x:v>
      </x:c>
      <x:c r="C5" s="175" t="str">
        <x:v>Шаг сетки L</x:v>
      </x:c>
      <x:c r="D5" s="175" t="str">
        <x:v>X/Y/Z</x:v>
      </x:c>
      <x:c r="E5" s="175" t="str">
        <x:v>Обозначение L на чертеже 1</x:v>
      </x:c>
      <x:c r="F5" s="176" t="n">
        <x:v>8</x:v>
      </x:c>
      <x:c r="G5" s="176" t="n">
        <x:v>8</x:v>
      </x:c>
      <x:c r="H5" s="176" t="str">
        <x:v>Базовый модуль</x:v>
      </x:c>
      <x:c r="I5" s="176" t="n">
        <x:f>IF(OR(H5="Отверстие",H5="Контррасточка",H5="Внутренний профиль/паз"),Настройки!$B$5,0)</x:f>
        <x:v>0</x:v>
      </x:c>
      <x:c r="J5" s="176" t="n">
        <x:f>IF(G5="","",G5+I5)</x:f>
        <x:v>8</x:v>
      </x:c>
      <x:c r="K5" s="175" t="str">
        <x:v>Высокая</x:v>
      </x:c>
      <x:c r="L5" s="177" t="str">
        <x:v>Для пересчёта L-обозначений принято L = 8 мм.</x:v>
      </x:c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 ht="42" customHeight="1">
      <x:c r="A6" s="174" t="str">
        <x:v>D03</x:v>
      </x:c>
      <x:c r="B6" s="175" t="str">
        <x:v>Ряд из 5 отверстий</x:v>
      </x:c>
      <x:c r="C6" s="175" t="str">
        <x:v>Расстояние между центрами отверстий №1 и №5</x:v>
      </x:c>
      <x:c r="D6" s="175" t="str">
        <x:v>X</x:v>
      </x:c>
      <x:c r="E6" s="175" t="str">
        <x:v>Чертёж 2: 31.89</x:v>
      </x:c>
      <x:c r="F6" s="176" t="n">
        <x:v>31.89</x:v>
      </x:c>
      <x:c r="G6" s="176" t="n">
        <x:v>32</x:v>
      </x:c>
      <x:c r="H6" s="176" t="str">
        <x:v>Межосевое</x:v>
      </x:c>
      <x:c r="I6" s="176" t="n">
        <x:f>IF(OR(H6="Отверстие",H6="Контррасточка",H6="Внутренний профиль/паз"),Настройки!$B$5,0)</x:f>
        <x:v>0</x:v>
      </x:c>
      <x:c r="J6" s="176" t="n">
        <x:f>IF(G6="","",G6+I6)</x:f>
        <x:v>32</x:v>
      </x:c>
      <x:c r="K6" s="175" t="str">
        <x:v>Высокая</x:v>
      </x:c>
      <x:c r="L6" s="177" t="str">
        <x:v>4 интервала × 8 мм = 32 мм; 31.89 мм рассматривается как измеренное отклонение исходной модели.</x:v>
      </x:c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 ht="42" customHeight="1">
      <x:c r="A7" s="174" t="str">
        <x:v>D04</x:v>
      </x:c>
      <x:c r="B7" s="175" t="str">
        <x:v>Ряд из 5 отверстий</x:v>
      </x:c>
      <x:c r="C7" s="175" t="str">
        <x:v>Шаг между соседними центрами</x:v>
      </x:c>
      <x:c r="D7" s="175" t="str">
        <x:v>X</x:v>
      </x:c>
      <x:c r="E7" s="175" t="str">
        <x:v>Чертёж 2: 7.97</x:v>
      </x:c>
      <x:c r="F7" s="176" t="n">
        <x:v>7.97</x:v>
      </x:c>
      <x:c r="G7" s="176" t="n">
        <x:v>8</x:v>
      </x:c>
      <x:c r="H7" s="176" t="str">
        <x:v>Межосевое</x:v>
      </x:c>
      <x:c r="I7" s="176" t="n">
        <x:f>IF(OR(H7="Отверстие",H7="Контррасточка",H7="Внутренний профиль/паз"),Настройки!$B$5,0)</x:f>
        <x:v>0</x:v>
      </x:c>
      <x:c r="J7" s="176" t="n">
        <x:f>IF(G7="","",G7+I7)</x:f>
        <x:v>8</x:v>
      </x:c>
      <x:c r="K7" s="175" t="str">
        <x:v>Высокая</x:v>
      </x:c>
      <x:c r="L7" s="177" t="str">
        <x:v>Не копировать накопленное отклонение в новую совместимую модель.</x:v>
      </x:c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 ht="42" customHeight="1">
      <x:c r="A8" s="174" t="str">
        <x:v>D05</x:v>
      </x:c>
      <x:c r="B8" s="175" t="str">
        <x:v>3-дырочная деталь</x:v>
      </x:c>
      <x:c r="C8" s="175" t="str">
        <x:v>Межосевой шаг</x:v>
      </x:c>
      <x:c r="D8" s="175" t="str">
        <x:v>X</x:v>
      </x:c>
      <x:c r="E8" s="175" t="str">
        <x:v>Чертёж 3: 8.0</x:v>
      </x:c>
      <x:c r="F8" s="176" t="n">
        <x:v>8</x:v>
      </x:c>
      <x:c r="G8" s="176" t="n">
        <x:v>8</x:v>
      </x:c>
      <x:c r="H8" s="176" t="str">
        <x:v>Межосевое</x:v>
      </x:c>
      <x:c r="I8" s="176" t="n">
        <x:f>IF(OR(H8="Отверстие",H8="Контррасточка",H8="Внутренний профиль/паз"),Настройки!$B$5,0)</x:f>
        <x:v>0</x:v>
      </x:c>
      <x:c r="J8" s="176" t="n">
        <x:f>IF(G8="","",G8+I8)</x:f>
        <x:v>8</x:v>
      </x:c>
      <x:c r="K8" s="175" t="str">
        <x:v>Высокая</x:v>
      </x:c>
      <x:c r="L8" s="177" t="str">
        <x:v>Совпадает с базовой сеткой.</x:v>
      </x:c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 ht="42" customHeight="1">
      <x:c r="A9" s="174" t="str">
        <x:v>D06</x:v>
      </x:c>
      <x:c r="B9" s="175" t="str">
        <x:v>3-дырочная деталь</x:v>
      </x:c>
      <x:c r="C9" s="175" t="str">
        <x:v>Расстояние центр-центр между крайними отверстиями</x:v>
      </x:c>
      <x:c r="D9" s="175" t="str">
        <x:v>X</x:v>
      </x:c>
      <x:c r="E9" s="175" t="str">
        <x:v>2 интервала × 8 мм</x:v>
      </x:c>
      <x:c r="F9" s="176" t="n">
        <x:v>16</x:v>
      </x:c>
      <x:c r="G9" s="176" t="n">
        <x:v>16</x:v>
      </x:c>
      <x:c r="H9" s="176" t="str">
        <x:v>Межосевое</x:v>
      </x:c>
      <x:c r="I9" s="176" t="n">
        <x:f>IF(OR(H9="Отверстие",H9="Контррасточка",H9="Внутренний профиль/паз"),Настройки!$B$5,0)</x:f>
        <x:v>0</x:v>
      </x:c>
      <x:c r="J9" s="176" t="n">
        <x:f>IF(G9="","",G9+I9)</x:f>
        <x:v>16</x:v>
      </x:c>
      <x:c r="K9" s="175" t="str">
        <x:v>Высокая</x:v>
      </x:c>
      <x:c r="L9" s="177" t="str">
        <x:v>Производный размер для 3 отверстий.</x:v>
      </x:c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 ht="42" customHeight="1">
      <x:c r="A10" s="178" t="str">
        <x:v>D07</x:v>
      </x:c>
      <x:c r="B10" s="158" t="str">
        <x:v>3-дырочная деталь</x:v>
      </x:c>
      <x:c r="C10" s="158" t="str">
        <x:v>Полная длина корпуса</x:v>
      </x:c>
      <x:c r="D10" s="158" t="str">
        <x:v>X</x:v>
      </x:c>
      <x:c r="E10" s="158" t="str">
        <x:v>Чертёж 3: 23.4</x:v>
      </x:c>
      <x:c r="F10" s="179" t="n">
        <x:v>23.4</x:v>
      </x:c>
      <x:c r="G10" s="179" t="n">
        <x:v>24</x:v>
      </x:c>
      <x:c r="H10" s="179" t="str">
        <x:v>Наружный габарит</x:v>
      </x:c>
      <x:c r="I10" s="179" t="n">
        <x:f>IF(OR(H10="Отверстие",H10="Контррасточка",H10="Внутренний профиль/паз"),Настройки!$B$5,0)</x:f>
        <x:v>0</x:v>
      </x:c>
      <x:c r="J10" s="179" t="n">
        <x:f>IF(G10="","",G10+I10)</x:f>
        <x:v>24</x:v>
      </x:c>
      <x:c r="K10" s="158" t="str">
        <x:v>Средняя</x:v>
      </x:c>
      <x:c r="L10" s="180" t="str">
        <x:v>Есть расхождение: на изображении 23.4 мм, а стандартная геометрия 3M по сетке и радиусу конца около 3.9–4.0 мм даёт примерно 24 мм. Для совместимой новой модели использовать 24 мм, если не нужно копировать конкретную деталь.</x:v>
      </x:c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 ht="42" customHeight="1">
      <x:c r="A11" s="178" t="str">
        <x:v>D08</x:v>
      </x:c>
      <x:c r="B11" s="158" t="str">
        <x:v>3-дырочная деталь</x:v>
      </x:c>
      <x:c r="C11" s="158" t="str">
        <x:v>Ширина корпуса</x:v>
      </x:c>
      <x:c r="D11" s="158" t="str">
        <x:v>Y</x:v>
      </x:c>
      <x:c r="E11" s="158" t="str">
        <x:v>Чертёж 3: 7.4</x:v>
      </x:c>
      <x:c r="F11" s="179" t="n">
        <x:v>7.4</x:v>
      </x:c>
      <x:c r="G11" s="179" t="n">
        <x:v>7.8</x:v>
      </x:c>
      <x:c r="H11" s="179" t="str">
        <x:v>Наружный габарит</x:v>
      </x:c>
      <x:c r="I11" s="179" t="n">
        <x:f>IF(OR(H11="Отверстие",H11="Контррасточка",H11="Внутренний профиль/паз"),Настройки!$B$5,0)</x:f>
        <x:v>0</x:v>
      </x:c>
      <x:c r="J11" s="179" t="n">
        <x:f>IF(G11="","",G11+I11)</x:f>
        <x:v>7.8</x:v>
      </x:c>
      <x:c r="K11" s="158" t="str">
        <x:v>Средняя</x:v>
      </x:c>
      <x:c r="L11" s="180" t="str">
        <x:v>7.4 мм встречается у отдельных деталей/спец-геометрии; для обычной толстой балки ориентир 7.8 мм. Не считать универсальным размером всех деталей Technic.</x:v>
      </x:c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 ht="42" customHeight="1">
      <x:c r="A12" s="181" t="str">
        <x:v>D09</x:v>
      </x:c>
      <x:c r="B12" s="139" t="str">
        <x:v>3-дырочная деталь</x:v>
      </x:c>
      <x:c r="C12" s="139" t="str">
        <x:v>Высота/толщина корпуса</x:v>
      </x:c>
      <x:c r="D12" s="139" t="str">
        <x:v>Z</x:v>
      </x:c>
      <x:c r="E12" s="139" t="str">
        <x:v>Чертёж 3: 7.8</x:v>
      </x:c>
      <x:c r="F12" s="182" t="n">
        <x:v>7.8</x:v>
      </x:c>
      <x:c r="G12" s="182" t="n">
        <x:v>7.8</x:v>
      </x:c>
      <x:c r="H12" s="182" t="str">
        <x:v>Наружный габарит</x:v>
      </x:c>
      <x:c r="I12" s="182" t="n">
        <x:f>IF(OR(H12="Отверстие",H12="Контррасточка",H12="Внутренний профиль/паз"),Настройки!$B$5,0)</x:f>
        <x:v>0</x:v>
      </x:c>
      <x:c r="J12" s="182" t="n">
        <x:f>IF(G12="","",G12+I12)</x:f>
        <x:v>7.8</x:v>
      </x:c>
      <x:c r="K12" s="139" t="str">
        <x:v>Высокая</x:v>
      </x:c>
      <x:c r="L12" s="154" t="str">
        <x:v>Номинал для толстой балки.</x:v>
      </x:c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 ht="42" customHeight="1">
      <x:c r="A13" s="178" t="str">
        <x:v>D10</x:v>
      </x:c>
      <x:c r="B13" s="158" t="str">
        <x:v>Ряд из 5 отверстий</x:v>
      </x:c>
      <x:c r="C13" s="158" t="str">
        <x:v>Ширина/высота сечения</x:v>
      </x:c>
      <x:c r="D13" s="158" t="str">
        <x:v>Y/Z</x:v>
      </x:c>
      <x:c r="E13" s="158" t="str">
        <x:v>Чертёж 2: 7.38 (вид сверху)</x:v>
      </x:c>
      <x:c r="F13" s="179" t="n">
        <x:v>7.38</x:v>
      </x:c>
      <x:c r="G13" s="179" t="n">
        <x:v>7.8</x:v>
      </x:c>
      <x:c r="H13" s="179" t="str">
        <x:v>Наружный габарит</x:v>
      </x:c>
      <x:c r="I13" s="179" t="n">
        <x:f>IF(OR(H13="Отверстие",H13="Контррасточка",H13="Внутренний профиль/паз"),Настройки!$B$5,0)</x:f>
        <x:v>0</x:v>
      </x:c>
      <x:c r="J13" s="179" t="n">
        <x:f>IF(G13="","",G13+I13)</x:f>
        <x:v>7.8</x:v>
      </x:c>
      <x:c r="K13" s="158" t="str">
        <x:v>Средняя</x:v>
      </x:c>
      <x:c r="L13" s="180" t="str">
        <x:v>7.38 мм может отражать конкретную деталь/измерение; стандартный ориентир для толстой балки около 7.8 мм.</x:v>
      </x:c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 ht="42" customHeight="1">
      <x:c r="A14" s="181" t="str">
        <x:v>D11</x:v>
      </x:c>
      <x:c r="B14" s="139" t="str">
        <x:v>Толстая балка</x:v>
      </x:c>
      <x:c r="C14" s="139" t="str">
        <x:v>Ширина сечения</x:v>
      </x:c>
      <x:c r="D14" s="139" t="str">
        <x:v>Y</x:v>
      </x:c>
      <x:c r="E14" s="139" t="str">
        <x:v>Чертёж 2: 7.76</x:v>
      </x:c>
      <x:c r="F14" s="182" t="n">
        <x:v>7.76</x:v>
      </x:c>
      <x:c r="G14" s="182" t="n">
        <x:v>7.8</x:v>
      </x:c>
      <x:c r="H14" s="182" t="str">
        <x:v>Наружный габарит</x:v>
      </x:c>
      <x:c r="I14" s="182" t="n">
        <x:f>IF(OR(H14="Отверстие",H14="Контррасточка",H14="Внутренний профиль/паз"),Настройки!$B$5,0)</x:f>
        <x:v>0</x:v>
      </x:c>
      <x:c r="J14" s="182" t="n">
        <x:f>IF(G14="","",G14+I14)</x:f>
        <x:v>7.8</x:v>
      </x:c>
      <x:c r="K14" s="139" t="str">
        <x:v>Высокая</x:v>
      </x:c>
      <x:c r="L14" s="154" t="str">
        <x:v>Второе изображение показывает 7.76 мм; считать близким измеренным значением, а не отдельным шагом сетки.</x:v>
      </x:c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 ht="42" customHeight="1">
      <x:c r="A15" s="174" t="str">
        <x:v>D12</x:v>
      </x:c>
      <x:c r="B15" s="175" t="str">
        <x:v>Круглое Technic-отверстие</x:v>
      </x:c>
      <x:c r="C15" s="175" t="str">
        <x:v>Диаметр сквозного отверстия</x:v>
      </x:c>
      <x:c r="D15" s="175" t="str">
        <x:v>Ø / поперёк оси отверстия</x:v>
      </x:c>
      <x:c r="E15" s="175" t="str">
        <x:v>Чертежи 2/3: Ø4.8</x:v>
      </x:c>
      <x:c r="F15" s="176" t="n">
        <x:v>4.8</x:v>
      </x:c>
      <x:c r="G15" s="176" t="n">
        <x:v>4.8</x:v>
      </x:c>
      <x:c r="H15" s="176" t="str">
        <x:v>Отверстие</x:v>
      </x:c>
      <x:c r="I15" s="176" t="n">
        <x:f>IF(OR(H15="Отверстие",H15="Контррасточка",H15="Внутренний профиль/паз"),Настройки!$B$5,0)</x:f>
        <x:v>0.02</x:v>
      </x:c>
      <x:c r="J15" s="176" t="n">
        <x:f>IF(G15="","",G15+I15)</x:f>
        <x:v>4.819999999999999</x:v>
      </x:c>
      <x:c r="K15" s="175" t="str">
        <x:v>Высокая</x:v>
      </x:c>
      <x:c r="L15" s="177" t="str">
        <x:v>Номинал для CAD — Ø4.8 мм; независимый измерительный источник получает эффективный диаметр около Ø4.9 мм. Для сопряжения с реальным LEGO-pin протестировать обе посадки; при номинале 4.8 CAD-цель по заданному припуску = 4.82 мм.</x:v>
      </x:c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 ht="42" customHeight="1">
      <x:c r="A16" s="174" t="str">
        <x:v>D13</x:v>
      </x:c>
      <x:c r="B16" s="175" t="str">
        <x:v>Круглое Technic-отверстие</x:v>
      </x:c>
      <x:c r="C16" s="175" t="str">
        <x:v>Диаметр контррасточки, вариант A</x:v>
      </x:c>
      <x:c r="D16" s="175" t="str">
        <x:v>Ø</x:v>
      </x:c>
      <x:c r="E16" s="175" t="str">
        <x:v>Чертёж 2: Ø6.2</x:v>
      </x:c>
      <x:c r="F16" s="176" t="n">
        <x:v>6.2</x:v>
      </x:c>
      <x:c r="G16" s="176" t="n">
        <x:v>6.2</x:v>
      </x:c>
      <x:c r="H16" s="176" t="str">
        <x:v>Контррасточка</x:v>
      </x:c>
      <x:c r="I16" s="176" t="n">
        <x:f>IF(OR(H16="Отверстие",H16="Контррасточка",H16="Внутренний профиль/паз"),Настройки!$B$5,0)</x:f>
        <x:v>0.02</x:v>
      </x:c>
      <x:c r="J16" s="176" t="n">
        <x:f>IF(G16="","",G16+I16)</x:f>
        <x:v>6.22</x:v>
      </x:c>
      <x:c r="K16" s="175" t="str">
        <x:v>Высокая</x:v>
      </x:c>
      <x:c r="L16" s="177" t="str">
        <x:v>Подтверждается измерительным источником Cailliau: обычно 6.2 мм, глубина около 0.8–0.9 мм.</x:v>
      </x:c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 ht="42" customHeight="1">
      <x:c r="A17" s="178" t="str">
        <x:v>D14</x:v>
      </x:c>
      <x:c r="B17" s="158" t="str">
        <x:v>Круглое Technic-отверстие</x:v>
      </x:c>
      <x:c r="C17" s="158" t="str">
        <x:v>Диаметр контррасточки, вариант B</x:v>
      </x:c>
      <x:c r="D17" s="158" t="str">
        <x:v>Ø</x:v>
      </x:c>
      <x:c r="E17" s="158" t="str">
        <x:v>Чертёж 3: Ø6.4</x:v>
      </x:c>
      <x:c r="F17" s="179" t="n">
        <x:v>6.4</x:v>
      </x:c>
      <x:c r="G17" s="179" t="n">
        <x:v>6.4</x:v>
      </x:c>
      <x:c r="H17" s="179" t="str">
        <x:v>Контррасточка</x:v>
      </x:c>
      <x:c r="I17" s="179" t="n">
        <x:f>IF(OR(H17="Отверстие",H17="Контррасточка",H17="Внутренний профиль/паз"),Настройки!$B$5,0)</x:f>
        <x:v>0.02</x:v>
      </x:c>
      <x:c r="J17" s="179" t="n">
        <x:f>IF(G17="","",G17+I17)</x:f>
        <x:v>6.42</x:v>
      </x:c>
      <x:c r="K17" s="158" t="str">
        <x:v>Средняя</x:v>
      </x:c>
      <x:c r="L17" s="180" t="str">
        <x:v>Чертёж 3 показывает 6.4 мм. Сохранено как отдельный вариант; до измерения реальной детали не унифицировать с Ø6.2.</x:v>
      </x:c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 ht="42" customHeight="1">
      <x:c r="A18" s="174" t="str">
        <x:v>D15</x:v>
      </x:c>
      <x:c r="B18" s="175" t="str">
        <x:v>Круглое Technic-отверстие</x:v>
      </x:c>
      <x:c r="C18" s="175" t="str">
        <x:v>Глубина контррасточки</x:v>
      </x:c>
      <x:c r="D18" s="175" t="str">
        <x:v>Z / вдоль оси отверстия</x:v>
      </x:c>
      <x:c r="E18" s="175" t="str">
        <x:v>Чертежи 2/3: 0.8</x:v>
      </x:c>
      <x:c r="F18" s="176" t="n">
        <x:v>0.8</x:v>
      </x:c>
      <x:c r="G18" s="176" t="n">
        <x:v>0.8</x:v>
      </x:c>
      <x:c r="H18" s="176" t="str">
        <x:v>Глубина</x:v>
      </x:c>
      <x:c r="I18" s="176" t="n">
        <x:f>IF(OR(H18="Отверстие",H18="Контррасточка",H18="Внутренний профиль/паз"),Настройки!$B$5,0)</x:f>
        <x:v>0</x:v>
      </x:c>
      <x:c r="J18" s="176" t="n">
        <x:f>IF(G18="","",G18+I18)</x:f>
        <x:v>0.8</x:v>
      </x:c>
      <x:c r="K18" s="175" t="str">
        <x:v>Высокая</x:v>
      </x:c>
      <x:c r="L18" s="177" t="str">
        <x:v>На чертежах показано 0.8 мм; измерительный источник даёт диапазон примерно 0.8–0.9 мм.</x:v>
      </x:c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 ht="42" customHeight="1">
      <x:c r="A19" s="181" t="str">
        <x:v>D16</x:v>
      </x:c>
      <x:c r="B19" s="139" t="str">
        <x:v>Круглое Technic-отверстие</x:v>
      </x:c>
      <x:c r="C19" s="139" t="str">
        <x:v>Радиальная ширина уступа при Ø6.2/Ø4.8</x:v>
      </x:c>
      <x:c r="D19" s="139" t="str">
        <x:v>Радиально</x:v>
      </x:c>
      <x:c r="E19" s="139" t="str">
        <x:v>Расчёт (6.2−4.8)/2</x:v>
      </x:c>
      <x:c r="F19" s="182" t="n">
        <x:v>0.7</x:v>
      </x:c>
      <x:c r="G19" s="182" t="n">
        <x:v>0.7</x:v>
      </x:c>
      <x:c r="H19" s="182" t="str">
        <x:v>Производный размер</x:v>
      </x:c>
      <x:c r="I19" s="182" t="n">
        <x:f>IF(OR(H19="Отверстие",H19="Контррасточка",H19="Внутренний профиль/паз"),Настройки!$B$5,0)</x:f>
        <x:v>0</x:v>
      </x:c>
      <x:c r="J19" s="182" t="n">
        <x:f>IF(G19="","",G19+I19)</x:f>
        <x:v>0.7</x:v>
      </x:c>
      <x:c r="K19" s="139" t="str">
        <x:v>Высокая</x:v>
      </x:c>
      <x:c r="L19" s="154" t="str">
        <x:v>Уступ/кольцевое плечо при прямоугольной контррасточке, а не фаска.</x:v>
      </x:c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 ht="42" customHeight="1">
      <x:c r="A20" s="181" t="str">
        <x:v>D17</x:v>
      </x:c>
      <x:c r="B20" s="139" t="str">
        <x:v>Круглое Technic-отверстие</x:v>
      </x:c>
      <x:c r="C20" s="139" t="str">
        <x:v>Радиальная ширина уступа при Ø6.4/Ø4.8</x:v>
      </x:c>
      <x:c r="D20" s="139" t="str">
        <x:v>Радиально</x:v>
      </x:c>
      <x:c r="E20" s="139" t="str">
        <x:v>Расчёт (6.4−4.8)/2</x:v>
      </x:c>
      <x:c r="F20" s="182" t="n">
        <x:v>0.8</x:v>
      </x:c>
      <x:c r="G20" s="182" t="n">
        <x:v>0.8</x:v>
      </x:c>
      <x:c r="H20" s="182" t="str">
        <x:v>Производный размер</x:v>
      </x:c>
      <x:c r="I20" s="182" t="n">
        <x:f>IF(OR(H20="Отверстие",H20="Контррасточка",H20="Внутренний профиль/паз"),Настройки!$B$5,0)</x:f>
        <x:v>0</x:v>
      </x:c>
      <x:c r="J20" s="182" t="n">
        <x:f>IF(G20="","",G20+I20)</x:f>
        <x:v>0.8</x:v>
      </x:c>
      <x:c r="K20" s="139" t="str">
        <x:v>Высокая</x:v>
      </x:c>
      <x:c r="L20" s="154" t="str">
        <x:v>Относится к варианту Ø6.4 с чертежа 3.</x:v>
      </x:c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 ht="42" customHeight="1">
      <x:c r="A21" s="174" t="str">
        <x:v>D18</x:v>
      </x:c>
      <x:c r="B21" s="175" t="str">
        <x:v>Круглое Technic-отверстие</x:v>
      </x:c>
      <x:c r="C21" s="175" t="str">
        <x:v>Прямая часть между двумя контррасточками</x:v>
      </x:c>
      <x:c r="D21" s="175" t="str">
        <x:v>Z</x:v>
      </x:c>
      <x:c r="E21" s="175" t="str">
        <x:v>Расчёт 7.8−2×0.8</x:v>
      </x:c>
      <x:c r="F21" s="176" t="n">
        <x:v>6.2</x:v>
      </x:c>
      <x:c r="G21" s="176" t="n">
        <x:v>6.2</x:v>
      </x:c>
      <x:c r="H21" s="176" t="str">
        <x:v>Производный размер</x:v>
      </x:c>
      <x:c r="I21" s="176" t="n">
        <x:f>IF(OR(H21="Отверстие",H21="Контррасточка",H21="Внутренний профиль/паз"),Настройки!$B$5,0)</x:f>
        <x:v>0</x:v>
      </x:c>
      <x:c r="J21" s="176" t="n">
        <x:f>IF(G21="","",G21+I21)</x:f>
        <x:v>6.2</x:v>
      </x:c>
      <x:c r="K21" s="175" t="str">
        <x:v>Высокая</x:v>
      </x:c>
      <x:c r="L21" s="177" t="str">
        <x:v>Для сечения 7.8 мм и симметричных контррасточек глубиной 0.8 мм с обеих сторон.</x:v>
      </x:c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 ht="42" customHeight="1">
      <x:c r="A22" s="181" t="str">
        <x:v>D19</x:v>
      </x:c>
      <x:c r="B22" s="139" t="str">
        <x:v>Округлый конец балки</x:v>
      </x:c>
      <x:c r="C22" s="139" t="str">
        <x:v>Радиус торца</x:v>
      </x:c>
      <x:c r="D22" s="139" t="str">
        <x:v>XY</x:v>
      </x:c>
      <x:c r="E22" s="139" t="str">
        <x:v>Измерительный источник: 7.8/2</x:v>
      </x:c>
      <x:c r="F22" s="182" t="n">
        <x:v>3.9</x:v>
      </x:c>
      <x:c r="G22" s="182" t="n">
        <x:v>3.9</x:v>
      </x:c>
      <x:c r="H22" s="182" t="str">
        <x:v>Наружный радиус</x:v>
      </x:c>
      <x:c r="I22" s="182" t="n">
        <x:f>IF(OR(H22="Отверстие",H22="Контррасточка",H22="Внутренний профиль/паз"),Настройки!$B$5,0)</x:f>
        <x:v>0</x:v>
      </x:c>
      <x:c r="J22" s="182" t="n">
        <x:f>IF(G22="","",G22+I22)</x:f>
        <x:v>3.9</x:v>
      </x:c>
      <x:c r="K22" s="139" t="str">
        <x:v>Средняя</x:v>
      </x:c>
      <x:c r="L22" s="154" t="str">
        <x:v>Использовать как исходный ориентир для классической толстой балки; проверить на конкретной детали.</x:v>
      </x:c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 ht="42" customHeight="1">
      <x:c r="A23" s="181" t="str">
        <x:v>D20</x:v>
      </x:c>
      <x:c r="B23" s="139" t="str">
        <x:v>Крестовой профиль</x:v>
      </x:c>
      <x:c r="C23" s="139" t="str">
        <x:v>Размер крестового профиля от кончика до кончика</x:v>
      </x:c>
      <x:c r="D23" s="139" t="str">
        <x:v>XY поперёк оси</x:v>
      </x:c>
      <x:c r="E23" s="139" t="str">
        <x:v>Справочник Technic</x:v>
      </x:c>
      <x:c r="F23" s="182" t="n">
        <x:v>4.8</x:v>
      </x:c>
      <x:c r="G23" s="182" t="n">
        <x:v>4.8</x:v>
      </x:c>
      <x:c r="H23" s="182" t="str">
        <x:v>Внутренний профиль/паз</x:v>
      </x:c>
      <x:c r="I23" s="182" t="n">
        <x:f>IF(OR(H23="Отверстие",H23="Контррасточка",H23="Внутренний профиль/паз"),Настройки!$B$5,0)</x:f>
        <x:v>0.02</x:v>
      </x:c>
      <x:c r="J23" s="182" t="n">
        <x:f>IF(G23="","",G23+I23)</x:f>
        <x:v>4.819999999999999</x:v>
      </x:c>
      <x:c r="K23" s="139" t="str">
        <x:v>Средняя</x:v>
      </x:c>
      <x:c r="L23" s="154" t="str">
        <x:v>Для женского крестового отверстия применяется зазор; для вала/оси это внешний размер и прибавлять зазор нельзя.</x:v>
      </x:c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 ht="42" customHeight="1">
      <x:c r="A24" s="181" t="str">
        <x:v>D21</x:v>
      </x:c>
      <x:c r="B24" s="139" t="str">
        <x:v>Крестовой профиль</x:v>
      </x:c>
      <x:c r="C24" s="139" t="str">
        <x:v>Ширина плеча креста</x:v>
      </x:c>
      <x:c r="D24" s="139" t="str">
        <x:v>XY поперёк оси</x:v>
      </x:c>
      <x:c r="E24" s="139" t="str">
        <x:v>Справочник Technic: около 1.8–1.83</x:v>
      </x:c>
      <x:c r="F24" s="182" t="n">
        <x:v>1.83</x:v>
      </x:c>
      <x:c r="G24" s="182" t="n">
        <x:v>1.83</x:v>
      </x:c>
      <x:c r="H24" s="182" t="str">
        <x:v>Внутренний профиль/паз</x:v>
      </x:c>
      <x:c r="I24" s="182" t="n">
        <x:f>IF(OR(H24="Отверстие",H24="Контррасточка",H24="Внутренний профиль/паз"),Настройки!$B$5,0)</x:f>
        <x:v>0.02</x:v>
      </x:c>
      <x:c r="J24" s="182" t="n">
        <x:f>IF(G24="","",G24+I24)</x:f>
        <x:v>1.85</x:v>
      </x:c>
      <x:c r="K24" s="139" t="str">
        <x:v>Средняя</x:v>
      </x:c>
      <x:c r="L24" s="154" t="str">
        <x:v>Размер зависит от принятого определения (ширина плеча/между плоскостями); сверить с реальной осью.</x:v>
      </x:c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 ht="42" customHeight="1">
      <x:c r="A25" s="181" t="str">
        <x:v>D22</x:v>
      </x:c>
      <x:c r="B25" s="139" t="str">
        <x:v>Крестовой профиль</x:v>
      </x:c>
      <x:c r="C25" s="139" t="str">
        <x:v>Диаметр/ширина наружного вала</x:v>
      </x:c>
      <x:c r="D25" s="139" t="str">
        <x:v>XY поперёк оси</x:v>
      </x:c>
      <x:c r="E25" s="139" t="str">
        <x:v>Номинал около 4.8</x:v>
      </x:c>
      <x:c r="F25" s="182" t="n">
        <x:v>4.8</x:v>
      </x:c>
      <x:c r="G25" s="182" t="n">
        <x:v>4.8</x:v>
      </x:c>
      <x:c r="H25" s="182" t="str">
        <x:v>Наружный габарит</x:v>
      </x:c>
      <x:c r="I25" s="182" t="n">
        <x:f>IF(OR(H25="Отверстие",H25="Контррасточка",H25="Внутренний профиль/паз"),Настройки!$B$5,0)</x:f>
        <x:v>0</x:v>
      </x:c>
      <x:c r="J25" s="182" t="n">
        <x:f>IF(G25="","",G25+I25)</x:f>
        <x:v>4.8</x:v>
      </x:c>
      <x:c r="K25" s="139" t="str">
        <x:v>Средняя</x:v>
      </x:c>
      <x:c r="L25" s="154" t="str">
        <x:v>Для печатной оси не применять положительный припуск, если она входит в настоящий LEGO-отверстие; тестировать уменьшение мужского размера при необходимости.</x:v>
      </x:c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 ht="42" customHeight="1">
      <x:c r="A26" s="181" t="str">
        <x:v>D23</x:v>
      </x:c>
      <x:c r="B26" s="139" t="str">
        <x:v>L-размеры чертежа 1</x:v>
      </x:c>
      <x:c r="C26" s="139" t="str">
        <x:v>0.9L — ширина/диаметр обозначенного элемента</x:v>
      </x:c>
      <x:c r="D26" s="139" t="str">
        <x:v>XY</x:v>
      </x:c>
      <x:c r="E26" s="139" t="str">
        <x:v>0.9L × 8</x:v>
      </x:c>
      <x:c r="F26" s="182" t="n">
        <x:v>7.2</x:v>
      </x:c>
      <x:c r="G26" s="182" t="n">
        <x:v>7.2</x:v>
      </x:c>
      <x:c r="H26" s="182" t="str">
        <x:v>Неопределённая функция</x:v>
      </x:c>
      <x:c r="I26" s="182" t="n">
        <x:f>IF(OR(H26="Отверстие",H26="Контррасточка",H26="Внутренний профиль/паз"),Настройки!$B$5,0)</x:f>
        <x:v>0</x:v>
      </x:c>
      <x:c r="J26" s="182" t="n">
        <x:f>IF(G26="","",G26+I26)</x:f>
        <x:v>7.2</x:v>
      </x:c>
      <x:c r="K26" s="139" t="str">
        <x:v>Средняя</x:v>
      </x:c>
      <x:c r="L26" s="154" t="str">
        <x:v>Конверсия размерного обозначения точная при L=8 мм; назначение конкретной кромки/кольца на чертеже требует проверки.</x:v>
      </x:c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 ht="42" customHeight="1">
      <x:c r="A27" s="181" t="str">
        <x:v>D24</x:v>
      </x:c>
      <x:c r="B27" s="139" t="str">
        <x:v>L-размеры чертежа 1</x:v>
      </x:c>
      <x:c r="C27" s="139" t="str">
        <x:v>Ø0.8L — диаметр/ширина обозначенного элемента</x:v>
      </x:c>
      <x:c r="D27" s="139" t="str">
        <x:v>XY</x:v>
      </x:c>
      <x:c r="E27" s="139" t="str">
        <x:v>0.8L × 8</x:v>
      </x:c>
      <x:c r="F27" s="182" t="n">
        <x:v>6.4</x:v>
      </x:c>
      <x:c r="G27" s="182" t="n">
        <x:v>6.4</x:v>
      </x:c>
      <x:c r="H27" s="182" t="str">
        <x:v>Неопределённая функция</x:v>
      </x:c>
      <x:c r="I27" s="182" t="n">
        <x:f>IF(OR(H27="Отверстие",H27="Контррасточка",H27="Внутренний профиль/паз"),Настройки!$B$5,0)</x:f>
        <x:v>0</x:v>
      </x:c>
      <x:c r="J27" s="182" t="n">
        <x:f>IF(G27="","",G27+I27)</x:f>
        <x:v>6.4</x:v>
      </x:c>
      <x:c r="K27" s="139" t="str">
        <x:v>Средняя</x:v>
      </x:c>
      <x:c r="L27" s="154" t="str">
        <x:v>Совпадает с Ø6.4 мм на чертеже 3, но не назначать этому размеру универсальную роль.</x:v>
      </x:c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 ht="42" customHeight="1">
      <x:c r="A28" s="174" t="str">
        <x:v>D25</x:v>
      </x:c>
      <x:c r="B28" s="175" t="str">
        <x:v>L-размеры чертежа 1</x:v>
      </x:c>
      <x:c r="C28" s="175" t="str">
        <x:v>Ø0.6L — диаметр обозначенного отверстия</x:v>
      </x:c>
      <x:c r="D28" s="175" t="str">
        <x:v>XY</x:v>
      </x:c>
      <x:c r="E28" s="175" t="str">
        <x:v>0.6L × 8</x:v>
      </x:c>
      <x:c r="F28" s="176" t="n">
        <x:v>4.8</x:v>
      </x:c>
      <x:c r="G28" s="176" t="n">
        <x:v>4.8</x:v>
      </x:c>
      <x:c r="H28" s="176" t="str">
        <x:v>Отверстие</x:v>
      </x:c>
      <x:c r="I28" s="176" t="n">
        <x:f>IF(OR(H28="Отверстие",H28="Контррасточка",H28="Внутренний профиль/паз"),Настройки!$B$5,0)</x:f>
        <x:v>0.02</x:v>
      </x:c>
      <x:c r="J28" s="176" t="n">
        <x:f>IF(G28="","",G28+I28)</x:f>
        <x:v>4.819999999999999</x:v>
      </x:c>
      <x:c r="K28" s="175" t="str">
        <x:v>Высокая</x:v>
      </x:c>
      <x:c r="L28" s="177" t="str">
        <x:v>Совпадает с базовым номиналом круглого Technic-отверстия; для внутреннего отверстия +0.02 мм по настройке.</x:v>
      </x:c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 ht="42" customHeight="1">
      <x:c r="A29" s="181" t="str">
        <x:v>D26</x:v>
      </x:c>
      <x:c r="B29" s="139" t="str">
        <x:v>L-размеры чертежа 1</x:v>
      </x:c>
      <x:c r="C29" s="139" t="str">
        <x:v>0.2L — размер прорези/перемычки</x:v>
      </x:c>
      <x:c r="D29" s="139" t="str">
        <x:v>XY</x:v>
      </x:c>
      <x:c r="E29" s="139" t="str">
        <x:v>0.2L × 8</x:v>
      </x:c>
      <x:c r="F29" s="182" t="n">
        <x:v>1.6</x:v>
      </x:c>
      <x:c r="G29" s="182" t="n">
        <x:v>1.6</x:v>
      </x:c>
      <x:c r="H29" s="182" t="str">
        <x:v>Внутренний профиль/паз</x:v>
      </x:c>
      <x:c r="I29" s="182" t="n">
        <x:f>IF(OR(H29="Отверстие",H29="Контррасточка",H29="Внутренний профиль/паз"),Настройки!$B$5,0)</x:f>
        <x:v>0.02</x:v>
      </x:c>
      <x:c r="J29" s="182" t="n">
        <x:f>IF(G29="","",G29+I29)</x:f>
        <x:v>1.62</x:v>
      </x:c>
      <x:c r="K29" s="139" t="str">
        <x:v>Средняя</x:v>
      </x:c>
      <x:c r="L29" s="154" t="str">
        <x:v>Применять к соответствующей прорези только после подтверждения, что размер на чертеже действительно задаёт ширину паза.</x:v>
      </x:c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 ht="42" customHeight="1">
      <x:c r="A30" s="181" t="str">
        <x:v>D27</x:v>
      </x:c>
      <x:c r="B30" s="139" t="str">
        <x:v>L-размеры чертежа 1</x:v>
      </x:c>
      <x:c r="C30" s="139" t="str">
        <x:v>0.1L — малая ступень/глубина</x:v>
      </x:c>
      <x:c r="D30" s="139" t="str">
        <x:v>Z/локально</x:v>
      </x:c>
      <x:c r="E30" s="139" t="str">
        <x:v>0.1L × 8</x:v>
      </x:c>
      <x:c r="F30" s="182" t="n">
        <x:v>0.8</x:v>
      </x:c>
      <x:c r="G30" s="182" t="n">
        <x:v>0.8</x:v>
      </x:c>
      <x:c r="H30" s="182" t="str">
        <x:v>Глубина</x:v>
      </x:c>
      <x:c r="I30" s="182" t="n">
        <x:f>IF(OR(H30="Отверстие",H30="Контррасточка",H30="Внутренний профиль/паз"),Настройки!$B$5,0)</x:f>
        <x:v>0</x:v>
      </x:c>
      <x:c r="J30" s="182" t="n">
        <x:f>IF(G30="","",G30+I30)</x:f>
        <x:v>0.8</x:v>
      </x:c>
      <x:c r="K30" s="139" t="str">
        <x:v>Высокая</x:v>
      </x:c>
      <x:c r="L30" s="154" t="str">
        <x:v>Конверсия единицы; на схеме значение также фигурирует как 0.8 мм.</x:v>
      </x:c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 ht="42" customHeight="1">
      <x:c r="A31" s="181" t="str">
        <x:v>D28</x:v>
      </x:c>
      <x:c r="B31" s="139" t="str">
        <x:v>L-размеры чертежа 1</x:v>
      </x:c>
      <x:c r="C31" s="139" t="str">
        <x:v>0.5L — высота/глубина локального элемента</x:v>
      </x:c>
      <x:c r="D31" s="139" t="str">
        <x:v>Z/локально</x:v>
      </x:c>
      <x:c r="E31" s="139" t="str">
        <x:v>0.5L × 8</x:v>
      </x:c>
      <x:c r="F31" s="182" t="n">
        <x:v>4</x:v>
      </x:c>
      <x:c r="G31" s="182" t="n">
        <x:v>4</x:v>
      </x:c>
      <x:c r="H31" s="182" t="str">
        <x:v>Неопределённая функция</x:v>
      </x:c>
      <x:c r="I31" s="182" t="n">
        <x:f>IF(OR(H31="Отверстие",H31="Контррасточка",H31="Внутренний профиль/паз"),Настройки!$B$5,0)</x:f>
        <x:v>0</x:v>
      </x:c>
      <x:c r="J31" s="182" t="n">
        <x:f>IF(G31="","",G31+I31)</x:f>
        <x:v>4</x:v>
      </x:c>
      <x:c r="K31" s="139" t="str">
        <x:v>Средняя</x:v>
      </x:c>
      <x:c r="L31" s="154" t="str">
        <x:v>Размерное обозначение читается, но к какому именно профилю его привязать без исходного CAD неочевидно.</x:v>
      </x:c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 ht="42" customHeight="1">
      <x:c r="A32" s="181" t="str">
        <x:v>D29</x:v>
      </x:c>
      <x:c r="B32" s="139" t="str">
        <x:v>L-размеры чертежа 1</x:v>
      </x:c>
      <x:c r="C32" s="139" t="str">
        <x:v>2L — номинальный отрезок</x:v>
      </x:c>
      <x:c r="D32" s="139" t="str">
        <x:v>X/Y</x:v>
      </x:c>
      <x:c r="E32" s="139" t="str">
        <x:v>2L × 8</x:v>
      </x:c>
      <x:c r="F32" s="182" t="n">
        <x:v>16</x:v>
      </x:c>
      <x:c r="G32" s="182" t="n">
        <x:v>16</x:v>
      </x:c>
      <x:c r="H32" s="182" t="str">
        <x:v>Межосевое/локальный размер</x:v>
      </x:c>
      <x:c r="I32" s="182" t="n">
        <x:f>IF(OR(H32="Отверстие",H32="Контррасточка",H32="Внутренний профиль/паз"),Настройки!$B$5,0)</x:f>
        <x:v>0</x:v>
      </x:c>
      <x:c r="J32" s="182" t="n">
        <x:f>IF(G32="","",G32+I32)</x:f>
        <x:v>16</x:v>
      </x:c>
      <x:c r="K32" s="139" t="str">
        <x:v>Высокая</x:v>
      </x:c>
      <x:c r="L32" s="154" t="str">
        <x:v>Два шага сетки, например расстояние от центра первого до центра третьего отверстия.</x:v>
      </x:c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 ht="42" customHeight="1">
      <x:c r="A33" s="183" t="str">
        <x:v>D30</x:v>
      </x:c>
      <x:c r="B33" s="184" t="str">
        <x:v>Кромки/защёлки</x:v>
      </x:c>
      <x:c r="C33" s="184" t="str">
        <x:v>Фаска входа отверстия</x:v>
      </x:c>
      <x:c r="D33" s="184" t="str">
        <x:v>локально</x:v>
      </x:c>
      <x:c r="E33" s="184" t="str">
        <x:v>На приложенных чертежах угол/размер фаски не задан</x:v>
      </x:c>
      <x:c r="F33" s="185"/>
      <x:c r="G33" s="185"/>
      <x:c r="H33" s="185" t="str">
        <x:v>Не задано</x:v>
      </x:c>
      <x:c r="I33" s="185" t="n">
        <x:f>IF(OR(H33="Отверстие",H33="Контррасточка",H33="Внутренний профиль/паз"),Настройки!$B$5,0)</x:f>
        <x:v>0</x:v>
      </x:c>
      <x:c r="J33" s="185" t="str">
        <x:f>IF(G33="","",G33+I33)</x:f>
      </x:c>
      <x:c r="K33" s="184" t="str">
        <x:v>Не определена</x:v>
      </x:c>
      <x:c r="L33" s="186" t="str">
        <x:v>Не назначать фаску числом без измерения. Контррасточка Ø6.2×0.8 — это отдельная ступень, не обязательно фаска.</x:v>
      </x:c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 ht="42" customHeight="1">
      <x:c r="A34" s="183" t="str">
        <x:v>D31</x:v>
      </x:c>
      <x:c r="B34" s="184" t="str">
        <x:v>Кромки/защёлки</x:v>
      </x:c>
      <x:c r="C34" s="184" t="str">
        <x:v>Удерживающий буртик/защёлка под pin</x:v>
      </x:c>
      <x:c r="D34" s="184" t="str">
        <x:v>локально</x:v>
      </x:c>
      <x:c r="E34" s="184" t="str">
        <x:v>Профиль штриховкой виден, числовые размеры не указаны</x:v>
      </x:c>
      <x:c r="F34" s="185"/>
      <x:c r="G34" s="185"/>
      <x:c r="H34" s="185" t="str">
        <x:v>Не задано</x:v>
      </x:c>
      <x:c r="I34" s="185" t="n">
        <x:f>IF(OR(H34="Отверстие",H34="Контррасточка",H34="Внутренний профиль/паз"),Настройки!$B$5,0)</x:f>
        <x:v>0</x:v>
      </x:c>
      <x:c r="J34" s="185" t="str">
        <x:f>IF(G34="","",G34+I34)</x:f>
      </x:c>
      <x:c r="K34" s="184" t="str">
        <x:v>Не определена</x:v>
      </x:c>
      <x:c r="L34" s="186" t="str">
        <x:v>Нужны ширина/высота буртика, угол ската, длина участка и упругая деформация материала.</x:v>
      </x:c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 ht="42" customHeight="1">
      <x:c r="A35" s="187" t="str">
        <x:v>D32</x:v>
      </x:c>
      <x:c r="B35" s="188" t="str">
        <x:v>Крестовой профиль</x:v>
      </x:c>
      <x:c r="C35" s="188" t="str">
        <x:v>Радиусы внутренних углов креста</x:v>
      </x:c>
      <x:c r="D35" s="188" t="str">
        <x:v>XY поперёк оси</x:v>
      </x:c>
      <x:c r="E35" s="188" t="str">
        <x:v>Не указаны на предоставленных чертежах</x:v>
      </x:c>
      <x:c r="F35" s="189"/>
      <x:c r="G35" s="189"/>
      <x:c r="H35" s="189" t="str">
        <x:v>Не задано</x:v>
      </x:c>
      <x:c r="I35" s="189" t="n">
        <x:f>IF(OR(H35="Отверстие",H35="Контррасточка",H35="Внутренний профиль/паз"),Настройки!$B$5,0)</x:f>
        <x:v>0</x:v>
      </x:c>
      <x:c r="J35" s="189" t="str">
        <x:f>IF(G35="","",G35+I35)</x:f>
      </x:c>
      <x:c r="K35" s="188" t="str">
        <x:v>Не определена</x:v>
      </x:c>
      <x:c r="L35" s="190" t="str">
        <x:v>Радиусы влияют на прочность/заедание; сверить реальную ось или 3D CAD-геометрию.</x:v>
      </x:c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 ht="45" customHeight="1">
      <x:c r="A36" s="158" t="str">
        <x:v>D33</x:v>
      </x:c>
      <x:c r="B36" s="158" t="str">
        <x:v>Круглое Technic-отверстие</x:v>
      </x:c>
      <x:c r="C36" s="158" t="str">
        <x:v>Эффективный диаметр по независимому измерению</x:v>
      </x:c>
      <x:c r="D36" s="158" t="str">
        <x:v>Поперёк оси отверстия</x:v>
      </x:c>
      <x:c r="E36" s="158" t="str">
        <x:v>Cailliau: измерено близко к Ø4.90</x:v>
      </x:c>
      <x:c r="F36" s="179" t="n">
        <x:v>4.9</x:v>
      </x:c>
      <x:c r="G36" s="179" t="n">
        <x:v>4.9</x:v>
      </x:c>
      <x:c r="H36" s="179" t="str">
        <x:v>Справочная измеренная величина</x:v>
      </x:c>
      <x:c r="I36" s="179" t="n">
        <x:v>0</x:v>
      </x:c>
      <x:c r="J36" s="179" t="n">
        <x:v>4.9</x:v>
      </x:c>
      <x:c r="K36" s="158" t="str">
        <x:v>Средняя</x:v>
      </x:c>
      <x:c r="L36" s="158" t="str">
        <x:v>Не заводской официальный номинал и не универсальный размер каждого элемента. Держать как альтернативный тестовый ориентир рядом с CAD-номиналом Ø4.8.</x:v>
      </x:c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f4b213be46a4ad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1" hidden="0" customWidth="1"/>
    <x:col min="4" max="4" width="63" hidden="0" customWidth="1"/>
    <x:col min="5" max="5" width="20" hidden="0" customWidth="1"/>
  </x:cols>
  <x:sheetData>
    <x:row r="1" ht="30" customHeight="1">
      <x:c r="A1" s="230" t="str">
        <x:v>Размерные обозначения L с чертежа 1</x:v>
      </x:c>
      <x:c r="B1" s="230"/>
      <x:c r="C1" s="230"/>
      <x:c r="D1" s="230"/>
      <x:c r="E1" s="230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32" customHeight="1">
      <x:c r="A3" s="148" t="str">
        <x:v>Обозначение</x:v>
      </x:c>
      <x:c r="B3" s="148" t="str">
        <x:v>Формула</x:v>
      </x:c>
      <x:c r="C3" s="148" t="str">
        <x:v>Значение при L=8 мм</x:v>
      </x:c>
      <x:c r="D3" s="148" t="str">
        <x:v>Функция на чертеже</x:v>
      </x:c>
      <x:c r="E3" s="148" t="str">
        <x:v>Степень уверенности</x:v>
      </x:c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 ht="32" customHeight="1">
      <x:c r="A4" s="212" t="str">
        <x:v>L</x:v>
      </x:c>
      <x:c r="B4" s="213" t="str">
        <x:v>1 × L</x:v>
      </x:c>
      <x:c r="C4" s="214" t="n">
        <x:v>8</x:v>
      </x:c>
      <x:c r="D4" s="213" t="str">
        <x:v>Базовый размерный модуль</x:v>
      </x:c>
      <x:c r="E4" s="151" t="str">
        <x:v>Высокая</x:v>
      </x:c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 ht="32" customHeight="1">
      <x:c r="A5" s="181" t="str">
        <x:v>2L</x:v>
      </x:c>
      <x:c r="B5" s="139" t="str">
        <x:v>2 × L</x:v>
      </x:c>
      <x:c r="C5" s="182" t="n">
        <x:v>16</x:v>
      </x:c>
      <x:c r="D5" s="139" t="str">
        <x:v>Длина/межосевой интервал в 2 шага</x:v>
      </x:c>
      <x:c r="E5" s="154" t="str">
        <x:v>Высокая</x:v>
      </x:c>
      <x:c r="F5" s="137"/>
      <x:c r="G5" s="137"/>
      <x:c r="H5" s="137"/>
      <x:c r="I5" s="137"/>
      <x:c r="J5" s="137"/>
      <x:c r="K5" s="137"/>
      <x:c r="L5" s="137"/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 ht="32" customHeight="1">
      <x:c r="A6" s="181" t="str">
        <x:v>Ø0.9L</x:v>
      </x:c>
      <x:c r="B6" s="139" t="str">
        <x:v>0.9 × L</x:v>
      </x:c>
      <x:c r="C6" s="182" t="n">
        <x:v>7.2</x:v>
      </x:c>
      <x:c r="D6" s="139" t="str">
        <x:v>Диаметр/ширина элемента, функция конкретного контура неясна</x:v>
      </x:c>
      <x:c r="E6" s="154" t="str">
        <x:v>Средняя</x:v>
      </x:c>
      <x:c r="F6" s="137"/>
      <x:c r="G6" s="137"/>
      <x:c r="H6" s="137"/>
      <x:c r="I6" s="137"/>
      <x:c r="J6" s="137"/>
      <x:c r="K6" s="137"/>
      <x:c r="L6" s="137"/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 ht="32" customHeight="1">
      <x:c r="A7" s="181" t="str">
        <x:v>0.9L</x:v>
      </x:c>
      <x:c r="B7" s="139" t="str">
        <x:v>0.9 × L</x:v>
      </x:c>
      <x:c r="C7" s="182" t="n">
        <x:v>7.2</x:v>
      </x:c>
      <x:c r="D7" s="139" t="str">
        <x:v>Габарит/локальный размер</x:v>
      </x:c>
      <x:c r="E7" s="154" t="str">
        <x:v>Средняя</x:v>
      </x:c>
      <x:c r="F7" s="137"/>
      <x:c r="G7" s="137"/>
      <x:c r="H7" s="137"/>
      <x:c r="I7" s="137"/>
      <x:c r="J7" s="137"/>
      <x:c r="K7" s="137"/>
      <x:c r="L7" s="137"/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 ht="32" customHeight="1">
      <x:c r="A8" s="181" t="str">
        <x:v>Ø0.8L</x:v>
      </x:c>
      <x:c r="B8" s="139" t="str">
        <x:v>0.8 × L</x:v>
      </x:c>
      <x:c r="C8" s="182" t="n">
        <x:v>6.4</x:v>
      </x:c>
      <x:c r="D8" s="139" t="str">
        <x:v>Диаметр/ширина элемента</x:v>
      </x:c>
      <x:c r="E8" s="154" t="str">
        <x:v>Средняя</x:v>
      </x:c>
      <x:c r="F8" s="137"/>
      <x:c r="G8" s="137"/>
      <x:c r="H8" s="137"/>
      <x:c r="I8" s="137"/>
      <x:c r="J8" s="137"/>
      <x:c r="K8" s="137"/>
      <x:c r="L8" s="137"/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 ht="32" customHeight="1">
      <x:c r="A9" s="181" t="str">
        <x:v>Ø0.6L</x:v>
      </x:c>
      <x:c r="B9" s="139" t="str">
        <x:v>0.6 × L</x:v>
      </x:c>
      <x:c r="C9" s="182" t="n">
        <x:v>4.8</x:v>
      </x:c>
      <x:c r="D9" s="139" t="str">
        <x:v>Диаметр отверстия; совпадает с базовым Ø4.8</x:v>
      </x:c>
      <x:c r="E9" s="154" t="str">
        <x:v>Высокая</x:v>
      </x:c>
      <x:c r="F9" s="137"/>
      <x:c r="G9" s="137"/>
      <x:c r="H9" s="137"/>
      <x:c r="I9" s="137"/>
      <x:c r="J9" s="137"/>
      <x:c r="K9" s="137"/>
      <x:c r="L9" s="137"/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 ht="32" customHeight="1">
      <x:c r="A10" s="181" t="str">
        <x:v>0.6L</x:v>
      </x:c>
      <x:c r="B10" s="139" t="str">
        <x:v>0.6 × L</x:v>
      </x:c>
      <x:c r="C10" s="182" t="n">
        <x:v>4.8</x:v>
      </x:c>
      <x:c r="D10" s="139" t="str">
        <x:v>Пропорциональный размер</x:v>
      </x:c>
      <x:c r="E10" s="154" t="str">
        <x:v>Высокая</x:v>
      </x:c>
      <x:c r="F10" s="137"/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 ht="32" customHeight="1">
      <x:c r="A11" s="181" t="str">
        <x:v>0.5L</x:v>
      </x:c>
      <x:c r="B11" s="139" t="str">
        <x:v>0.5 × L</x:v>
      </x:c>
      <x:c r="C11" s="182" t="n">
        <x:v>4</x:v>
      </x:c>
      <x:c r="D11" s="139" t="str">
        <x:v>Локальная высота/глубина</x:v>
      </x:c>
      <x:c r="E11" s="154" t="str">
        <x:v>Средняя</x:v>
      </x:c>
      <x:c r="F11" s="137"/>
      <x:c r="G11" s="137"/>
      <x:c r="H11" s="137"/>
      <x:c r="I11" s="137"/>
      <x:c r="J11" s="137"/>
      <x:c r="K11" s="137"/>
      <x:c r="L11" s="137"/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 ht="32" customHeight="1">
      <x:c r="A12" s="181" t="str">
        <x:v>0.2L</x:v>
      </x:c>
      <x:c r="B12" s="139" t="str">
        <x:v>0.2 × L</x:v>
      </x:c>
      <x:c r="C12" s="182" t="n">
        <x:v>1.6</x:v>
      </x:c>
      <x:c r="D12" s="139" t="str">
        <x:v>Ширина локальной прорези/перемычки — требует привязки к контуру</x:v>
      </x:c>
      <x:c r="E12" s="154" t="str">
        <x:v>Средняя</x:v>
      </x:c>
      <x:c r="F12" s="137"/>
      <x:c r="G12" s="137"/>
      <x:c r="H12" s="137"/>
      <x:c r="I12" s="137"/>
      <x:c r="J12" s="137"/>
      <x:c r="K12" s="137"/>
      <x:c r="L12" s="137"/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 ht="32" customHeight="1">
      <x:c r="A13" s="215" t="str">
        <x:v>0.1L</x:v>
      </x:c>
      <x:c r="B13" s="216" t="str">
        <x:v>0.1 × L</x:v>
      </x:c>
      <x:c r="C13" s="217" t="n">
        <x:v>0.8</x:v>
      </x:c>
      <x:c r="D13" s="216" t="str">
        <x:v>Малая ступень/глубина; совпадает с 0.8 мм</x:v>
      </x:c>
      <x:c r="E13" s="157" t="str">
        <x:v>Высокая</x:v>
      </x:c>
      <x:c r="F13" s="137"/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>
      <x:c r="A16" s="158" t="str">
        <x:v>Правило: значения L переводят обозначение чертежа в миллиметры, но не доказывают назначение конкретной кромки. Если на схеме неясно, к какой поверхности относится размер, в CAD не привязывать его к геометрии без проверки исходной детали.</x:v>
      </x:c>
      <x:c r="B16" s="158"/>
      <x:c r="C16" s="158"/>
      <x:c r="D16" s="158"/>
      <x:c r="E16" s="158"/>
      <x:c r="F16" s="137"/>
      <x:c r="G16" s="137"/>
      <x:c r="H16" s="137"/>
      <x:c r="I16" s="137"/>
      <x:c r="J16" s="137"/>
      <x:c r="K16" s="137"/>
      <x:c r="L16" s="137"/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>
      <x:c r="A17" s="158"/>
      <x:c r="B17" s="158"/>
      <x:c r="C17" s="158"/>
      <x:c r="D17" s="158"/>
      <x:c r="E17" s="158"/>
      <x:c r="F17" s="137"/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E1"/>
    <x:mergeCell ref="A16:E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1" hidden="0" customWidth="1"/>
    <x:col min="4" max="4" width="33" hidden="0" customWidth="1"/>
    <x:col min="5" max="5" width="40" hidden="0" customWidth="1"/>
    <x:col min="6" max="6" width="25" hidden="0" customWidth="1"/>
    <x:col min="7" max="7" width="62" hidden="0" customWidth="1"/>
  </x:cols>
  <x:sheetData>
    <x:row r="1" ht="30" customHeight="1">
      <x:c r="A1" s="230" t="str">
        <x:v>Посадки, контррасточки и пробная печать</x:v>
      </x:c>
      <x:c r="B1" s="230"/>
      <x:c r="C1" s="230"/>
      <x:c r="D1" s="230"/>
      <x:c r="E1" s="230"/>
      <x:c r="F1" s="230"/>
      <x:c r="G1" s="230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32" customHeight="1">
      <x:c r="A3" s="148" t="str">
        <x:v>Функция</x:v>
      </x:c>
      <x:c r="B3" s="148" t="str">
        <x:v>Номинал LEGO/чертежа, мм</x:v>
      </x:c>
      <x:c r="C3" s="148" t="str">
        <x:v>CAD при +0.02 мм</x:v>
      </x:c>
      <x:c r="D3" s="148" t="str">
        <x:v>Пробные варианты, мм</x:v>
      </x:c>
      <x:c r="E3" s="148" t="str">
        <x:v>Что проверять</x:v>
      </x:c>
      <x:c r="F3" s="148" t="str">
        <x:v>Результат теста (заполняется)</x:v>
      </x:c>
      <x:c r="G3" s="148" t="str">
        <x:v>Комментарий</x:v>
      </x:c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 ht="57" customHeight="1">
      <x:c r="A4" s="212" t="str">
        <x:v>Круглое отверстие под pin/ось (сквозное)</x:v>
      </x:c>
      <x:c r="B4" s="214" t="n">
        <x:v>4.8</x:v>
      </x:c>
      <x:c r="C4" s="214" t="n">
        <x:f>B4+Настройки!$B$5</x:f>
        <x:v>4.819999999999999</x:v>
      </x:c>
      <x:c r="D4" s="213" t="str">
        <x:v>4.82 / 4.85 / 4.90 / 4.95 / 5.00</x:v>
      </x:c>
      <x:c r="E4" s="213" t="str">
        <x:v>Входит ли pin без чрезмерного усилия; люфт; овальность</x:v>
      </x:c>
      <x:c r="F4" s="213"/>
      <x:c r="G4" s="151" t="str">
        <x:v>Целевой размер из требования — 4.82 мм. Остальные значения — только ступени испытательного купона.</x:v>
      </x:c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 ht="57" customHeight="1">
      <x:c r="A5" s="181" t="str">
        <x:v>Контррасточка под буртик pin — вариант A</x:v>
      </x:c>
      <x:c r="B5" s="182" t="n">
        <x:v>6.2</x:v>
      </x:c>
      <x:c r="C5" s="182" t="n">
        <x:f>B5+Настройки!$B$5</x:f>
        <x:v>6.22</x:v>
      </x:c>
      <x:c r="D5" s="139" t="str">
        <x:v>6.20 / 6.22 / 6.30</x:v>
      </x:c>
      <x:c r="E5" s="139" t="str">
        <x:v>Насколько свободно входит буртик; не должен проваливаться или заклинивать</x:v>
      </x:c>
      <x:c r="F5" s="139"/>
      <x:c r="G5" s="154" t="str">
        <x:v>Для точной имитации LEGO исходный чертёж показывает Ø6.2; источник Cailliau даёт около Ø6.2.</x:v>
      </x:c>
      <x:c r="H5" s="137"/>
      <x:c r="I5" s="137"/>
      <x:c r="J5" s="137"/>
      <x:c r="K5" s="137"/>
      <x:c r="L5" s="137"/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 ht="57" customHeight="1">
      <x:c r="A6" s="181" t="str">
        <x:v>Контррасточка под буртик pin — вариант B</x:v>
      </x:c>
      <x:c r="B6" s="182" t="n">
        <x:v>6.4</x:v>
      </x:c>
      <x:c r="C6" s="182" t="n">
        <x:f>B6+Настройки!$B$5</x:f>
        <x:v>6.42</x:v>
      </x:c>
      <x:c r="D6" s="139" t="str">
        <x:v>6.40 / 6.42</x:v>
      </x:c>
      <x:c r="E6" s="139" t="str">
        <x:v>Сопоставить с чертежом 3 и реальной деталью</x:v>
      </x:c>
      <x:c r="F6" s="139"/>
      <x:c r="G6" s="154" t="str">
        <x:v>Отдельный вариант из вашего чертежа. Не смешивать с Ø6.2 без измерения.</x:v>
      </x:c>
      <x:c r="H6" s="137"/>
      <x:c r="I6" s="137"/>
      <x:c r="J6" s="137"/>
      <x:c r="K6" s="137"/>
      <x:c r="L6" s="137"/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 ht="57" customHeight="1">
      <x:c r="A7" s="181" t="str">
        <x:v>Глубина контррасточки</x:v>
      </x:c>
      <x:c r="B7" s="182" t="n">
        <x:v>0.8</x:v>
      </x:c>
      <x:c r="C7" s="182" t="n">
        <x:v>0.8</x:v>
      </x:c>
      <x:c r="D7" s="139" t="str">
        <x:v>0.80 / 0.90 / 1.00</x:v>
      </x:c>
      <x:c r="E7" s="139" t="str">
        <x:v>Буртик садится заподлицо ли; остаётся ли нужная длина опоры</x:v>
      </x:c>
      <x:c r="F7" s="139"/>
      <x:c r="G7" s="154" t="str">
        <x:v>Глубину обычно не увеличиваем на +0.02 мм автоматически: припуск применяется к внутренним диаметрам/ширинам, а не к функциональной глубине.</x:v>
      </x:c>
      <x:c r="H7" s="137"/>
      <x:c r="I7" s="137"/>
      <x:c r="J7" s="137"/>
      <x:c r="K7" s="137"/>
      <x:c r="L7" s="137"/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 ht="57" customHeight="1">
      <x:c r="A8" s="181" t="str">
        <x:v>Крестовое внутреннее отверстие</x:v>
      </x:c>
      <x:c r="B8" s="182" t="n">
        <x:v>4.8</x:v>
      </x:c>
      <x:c r="C8" s="182" t="n">
        <x:f>B8+Настройки!$B$5</x:f>
        <x:v>4.819999999999999</x:v>
      </x:c>
      <x:c r="D8" s="139" t="str">
        <x:v>4.82 / 4.90 / 4.95 по tip-to-tip; плечо отдельно 1.85 / 1.90 / 2.00</x:v>
      </x:c>
      <x:c r="E8" s="139" t="str">
        <x:v>Посадка на крестовую ось, проворот, люфт, повреждение углов</x:v>
      </x:c>
      <x:c r="F8" s="139"/>
      <x:c r="G8" s="154" t="str">
        <x:v>Нужны раздельные параметры tip-to-tip, ширины плеча, внутренних радиусов и глубины; одна ширина не описывает весь профиль.</x:v>
      </x:c>
      <x:c r="H8" s="137"/>
      <x:c r="I8" s="137"/>
      <x:c r="J8" s="137"/>
      <x:c r="K8" s="137"/>
      <x:c r="L8" s="137"/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 ht="57" customHeight="1">
      <x:c r="A9" s="215" t="str">
        <x:v>Наружный печатный вал/ось</x:v>
      </x:c>
      <x:c r="B9" s="217" t="n">
        <x:v>4.8</x:v>
      </x:c>
      <x:c r="C9" s="217" t="n">
        <x:v>4.8</x:v>
      </x:c>
      <x:c r="D9" s="216" t="str">
        <x:v>4.80 / 4.78 / 4.75</x:v>
      </x:c>
      <x:c r="E9" s="216" t="str">
        <x:v>Вставляется ли в LEGO-отверстие и как передаёт момент</x:v>
      </x:c>
      <x:c r="F9" s="216"/>
      <x:c r="G9" s="157" t="str">
        <x:v>Здесь не прибавлять +0.02 мм: это мужской размер. Возможную компенсацию наружного размера подобрать испытанием.</x:v>
      </x:c>
      <x:c r="H9" s="137"/>
      <x:c r="I9" s="137"/>
      <x:c r="J9" s="137"/>
      <x:c r="K9" s="137"/>
      <x:c r="L9" s="137"/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>
      <x:c r="A11" s="158" t="str">
        <x:v>Интерпретация зазора: в файле +0.02 мм означает добавку к диаметру отверстия в CAD (диаметрально), то есть +0.01 мм радиально на сторону. Это намеренно буквально соблюдает заданный диапазон, но не заменяет калибровку конкретного принтера/филамента.</x:v>
      </x:c>
      <x:c r="B11" s="158"/>
      <x:c r="C11" s="158"/>
      <x:c r="D11" s="158"/>
      <x:c r="E11" s="158"/>
      <x:c r="F11" s="158"/>
      <x:c r="G11" s="158"/>
      <x:c r="H11" s="137"/>
      <x:c r="I11" s="137"/>
      <x:c r="J11" s="137"/>
      <x:c r="K11" s="137"/>
      <x:c r="L11" s="137"/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>
      <x:c r="A12" s="158"/>
      <x:c r="B12" s="158"/>
      <x:c r="C12" s="158"/>
      <x:c r="D12" s="158"/>
      <x:c r="E12" s="158"/>
      <x:c r="F12" s="158"/>
      <x:c r="G12" s="158"/>
      <x:c r="H12" s="137"/>
      <x:c r="I12" s="137"/>
      <x:c r="J12" s="137"/>
      <x:c r="K12" s="137"/>
      <x:c r="L12" s="137"/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>
      <x:c r="A13" s="158"/>
      <x:c r="B13" s="158"/>
      <x:c r="C13" s="158"/>
      <x:c r="D13" s="158"/>
      <x:c r="E13" s="158"/>
      <x:c r="F13" s="158"/>
      <x:c r="G13" s="158"/>
      <x:c r="H13" s="137"/>
      <x:c r="I13" s="137"/>
      <x:c r="J13" s="137"/>
      <x:c r="K13" s="137"/>
      <x:c r="L13" s="137"/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>
      <x:c r="A15" s="141" t="str">
        <x:v>Рекомендуемая последовательность испытаний: 1) напечатать купон отверстий/крестовых профилей в той же ориентации и с тем же материалом, что и реальная деталь; 2) измерить фактические отверстия штангенциркулем/калибрами; 3) записать лучшую посадку в колонку «Результат теста»; 4) только после этого фиксировать печатную компенсацию в шаблоне CAD. Не компенсировать усадку глобальным масштабированием, иначе нарушится шаг 8 мм.</x:v>
      </x:c>
      <x:c r="B15" s="141"/>
      <x:c r="C15" s="141"/>
      <x:c r="D15" s="141"/>
      <x:c r="E15" s="141"/>
      <x:c r="F15" s="141"/>
      <x:c r="G15" s="141"/>
      <x:c r="H15" s="137"/>
      <x:c r="I15" s="137"/>
      <x:c r="J15" s="137"/>
      <x:c r="K15" s="137"/>
      <x:c r="L15" s="137"/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>
      <x:c r="A16" s="141"/>
      <x:c r="B16" s="141"/>
      <x:c r="C16" s="141"/>
      <x:c r="D16" s="141"/>
      <x:c r="E16" s="141"/>
      <x:c r="F16" s="141"/>
      <x:c r="G16" s="141"/>
      <x:c r="H16" s="137"/>
      <x:c r="I16" s="137"/>
      <x:c r="J16" s="137"/>
      <x:c r="K16" s="137"/>
      <x:c r="L16" s="137"/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>
      <x:c r="A17" s="141"/>
      <x:c r="B17" s="141"/>
      <x:c r="C17" s="141"/>
      <x:c r="D17" s="141"/>
      <x:c r="E17" s="141"/>
      <x:c r="F17" s="141"/>
      <x:c r="G17" s="141"/>
      <x:c r="H17" s="137"/>
      <x:c r="I17" s="137"/>
      <x:c r="J17" s="137"/>
      <x:c r="K17" s="137"/>
      <x:c r="L17" s="137"/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G1"/>
    <x:mergeCell ref="A11:G13"/>
    <x:mergeCell ref="A15:G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40" hidden="0" customWidth="1"/>
    <x:col min="4" max="4" width="54" hidden="0" customWidth="1"/>
    <x:col min="5" max="5" width="55" hidden="0" customWidth="1"/>
    <x:col min="6" max="6" width="22" hidden="0" customWidth="1"/>
  </x:cols>
  <x:sheetData>
    <x:row r="1" ht="30" customHeight="1">
      <x:c r="A1" s="230" t="str">
        <x:v>Параметры, которые нельзя достоверно снять с текущих изображений</x:v>
      </x:c>
      <x:c r="B1" s="230"/>
      <x:c r="C1" s="230"/>
      <x:c r="D1" s="230"/>
      <x:c r="E1" s="230"/>
      <x:c r="F1" s="230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32" customHeight="1">
      <x:c r="A3" s="148" t="str">
        <x:v>Элемент</x:v>
      </x:c>
      <x:c r="B3" s="148" t="str">
        <x:v>Что нужно определить</x:v>
      </x:c>
      <x:c r="C3" s="148" t="str">
        <x:v>Почему важно</x:v>
      </x:c>
      <x:c r="D3" s="148" t="str">
        <x:v>Что видно сейчас</x:v>
      </x:c>
      <x:c r="E3" s="148" t="str">
        <x:v>Как закрыть вопрос</x:v>
      </x:c>
      <x:c r="F3" s="148" t="str">
        <x:v>Статус</x:v>
      </x:c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 ht="70" customHeight="1">
      <x:c r="A4" s="224" t="str">
        <x:v>Фаска входа круглого отверстия</x:v>
      </x:c>
      <x:c r="B4" s="225" t="str">
        <x:v>Диаметр/ширина устья, угол фаски, осевая глубина</x:v>
      </x:c>
      <x:c r="C4" s="225" t="str">
        <x:v>Влияет на лёгкость ввода pin и повреждение кромки</x:v>
      </x:c>
      <x:c r="D4" s="225" t="str">
        <x:v>Даны Ø4.8 и контррасточка Ø6.2/Ø6.4×0.8, но явный угол фаски не задан</x:v>
      </x:c>
      <x:c r="E4" s="225" t="str">
        <x:v>Измерить профиль разреза реальной детали или взять CAD/mesh и срезать контрольное сечение</x:v>
      </x:c>
      <x:c r="F4" s="226" t="str">
        <x:v>Не задано</x:v>
      </x:c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 ht="70" customHeight="1">
      <x:c r="A5" s="183" t="str">
        <x:v>Контррасточка</x:v>
      </x:c>
      <x:c r="B5" s="184" t="str">
        <x:v>Точный диаметр: 6.2 или 6.4 мм; глубина 0.8 или до 0.9 мм</x:v>
      </x:c>
      <x:c r="C5" s="184" t="str">
        <x:v>Меняет положение буртика и эффективную опорную длину</x:v>
      </x:c>
      <x:c r="D5" s="184" t="str">
        <x:v>Чертёж 2: Ø6.2; чертёж 3: Ø6.4; источники измерений дают 6.0–6.2 и 0.8–0.9 мм</x:v>
      </x:c>
      <x:c r="E5" s="184" t="str">
        <x:v>Определить конкретный элемент, который копируем; затем измерить хотя бы 3 экземпляра</x:v>
      </x:c>
      <x:c r="F5" s="186" t="str">
        <x:v>Конфликт вариантов</x:v>
      </x:c>
      <x:c r="G5" s="137"/>
      <x:c r="H5" s="137"/>
      <x:c r="I5" s="137"/>
      <x:c r="J5" s="137"/>
      <x:c r="K5" s="137"/>
      <x:c r="L5" s="137"/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 ht="70" customHeight="1">
      <x:c r="A6" s="183" t="str">
        <x:v>Защёлкивающийся буртик / удерживающие зубцы</x:v>
      </x:c>
      <x:c r="B6" s="184" t="str">
        <x:v>Ширина, высота, угол входного/выходного ската, длина удерживающего участка</x:v>
      </x:c>
      <x:c r="C6" s="184" t="str">
        <x:v>Определяет усилие вставки, удержание и выламывание слоя</x:v>
      </x:c>
      <x:c r="D6" s="184" t="str">
        <x:v>Штриховка/профиль частично видны, размеры не подписаны</x:v>
      </x:c>
      <x:c r="E6" s="184" t="str">
        <x:v>Нужен крупный боковой/разрезной чертёж или скан/измерение штангенциркулем</x:v>
      </x:c>
      <x:c r="F6" s="186" t="str">
        <x:v>Не задано</x:v>
      </x:c>
      <x:c r="G6" s="137"/>
      <x:c r="H6" s="137"/>
      <x:c r="I6" s="137"/>
      <x:c r="J6" s="137"/>
      <x:c r="K6" s="137"/>
      <x:c r="L6" s="137"/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 ht="70" customHeight="1">
      <x:c r="A7" s="183" t="str">
        <x:v>Крестовой профиль</x:v>
      </x:c>
      <x:c r="B7" s="184" t="str">
        <x:v>Ширина плеча, tip-to-tip, радиусы внутренних углов, длина профиля</x:v>
      </x:c>
      <x:c r="C7" s="184" t="str">
        <x:v>Определяет моментный контакт и возможность посадки на ось</x:v>
      </x:c>
      <x:c r="D7" s="184" t="str">
        <x:v>Ориентир 4.8 мм tip-to-tip и примерно 1.8–1.83 мм плечо из справочных измерений</x:v>
      </x:c>
      <x:c r="E7" s="184" t="str">
        <x:v>Измерить конкретную LEGO-ось; сделать отдельный профильный купон</x:v>
      </x:c>
      <x:c r="F7" s="186" t="str">
        <x:v>Частично</x:v>
      </x:c>
      <x:c r="G7" s="137"/>
      <x:c r="H7" s="137"/>
      <x:c r="I7" s="137"/>
      <x:c r="J7" s="137"/>
      <x:c r="K7" s="137"/>
      <x:c r="L7" s="137"/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 ht="70" customHeight="1">
      <x:c r="A8" s="183" t="str">
        <x:v>Окончание балки</x:v>
      </x:c>
      <x:c r="B8" s="184" t="str">
        <x:v>Форма скругления и связь внешнего контура с отверстиями</x:v>
      </x:c>
      <x:c r="C8" s="184" t="str">
        <x:v>У 3-дырочной детали длина 23.4 мм конфликтует с номинальным 24 мм</x:v>
      </x:c>
      <x:c r="D8" s="184" t="str">
        <x:v>На чертеже 3 длина 23.4 мм, шаг отверстий 8.0 мм</x:v>
      </x:c>
      <x:c r="E8" s="184" t="str">
        <x:v>Решить: копируем конкретную деталь (сохраняем 23.4) или делаем универсальную 3M-совместимость (номинал около 24)</x:v>
      </x:c>
      <x:c r="F8" s="186" t="str">
        <x:v>Требует решения</x:v>
      </x:c>
      <x:c r="G8" s="137"/>
      <x:c r="H8" s="137"/>
      <x:c r="I8" s="137"/>
      <x:c r="J8" s="137"/>
      <x:c r="K8" s="137"/>
      <x:c r="L8" s="137"/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 ht="70" customHeight="1">
      <x:c r="A9" s="183" t="str">
        <x:v>Разница 7.4 / 7.8 мм</x:v>
      </x:c>
      <x:c r="B9" s="184" t="str">
        <x:v>Выбрать тип детали и её толщину по каждой оси</x:v>
      </x:c>
      <x:c r="C9" s="184" t="str">
        <x:v>Для некоторых специальных деталей встречается 7.4 мм; толстые балки обычно около 7.8 мм</x:v>
      </x:c>
      <x:c r="D9" s="184" t="str">
        <x:v>Чертёж 3: 7.4 по одной оси и 7.8 по другой; чертёж 2: 7.38 и 7.76</x:v>
      </x:c>
      <x:c r="E9" s="184" t="str">
        <x:v>Не применять одно значение ко всем деталям; указать конкретный тип LEGO-детали/назначение модели</x:v>
      </x:c>
      <x:c r="F9" s="186" t="str">
        <x:v>Требует решения</x:v>
      </x:c>
      <x:c r="G9" s="137"/>
      <x:c r="H9" s="137"/>
      <x:c r="I9" s="137"/>
      <x:c r="J9" s="137"/>
      <x:c r="K9" s="137"/>
      <x:c r="L9" s="137"/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 ht="70" customHeight="1">
      <x:c r="A10" s="187" t="str">
        <x:v>Усадка и отверстия FDM</x:v>
      </x:c>
      <x:c r="B10" s="188" t="str">
        <x:v>Фактическая компенсация отдельно по XY и Z</x:v>
      </x:c>
      <x:c r="C10" s="188" t="str">
        <x:v>Отверстия могут выходить меньше CAD; принтеры и материалы различаются</x:v>
      </x:c>
      <x:c r="D10" s="188" t="str">
        <x:v>Выбранный +0.02 мм сам по себе не гарантирует компенсацию</x:v>
      </x:c>
      <x:c r="E10" s="188" t="str">
        <x:v>Печатный купон с несколькими диаметрами и cross-профилями; занести результат на лист «Посадки и FDM»</x:v>
      </x:c>
      <x:c r="F10" s="190" t="str">
        <x:v>Нужен тест</x:v>
      </x:c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>
      <x:c r="A12" s="137"/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7"/>
      <x:c r="L12" s="137"/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37"/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78" hidden="0" customWidth="1"/>
    <x:col min="3" max="3" width="62" hidden="0" customWidth="1"/>
    <x:col min="4" max="4" width="58" hidden="0" customWidth="1"/>
  </x:cols>
  <x:sheetData>
    <x:row r="1" ht="30" customHeight="1">
      <x:c r="A1" s="230" t="str">
        <x:v>Источники и статус данных</x:v>
      </x:c>
      <x:c r="B1" s="230"/>
      <x:c r="C1" s="230"/>
      <x:c r="D1" s="230"/>
      <x:c r="E1" s="137"/>
      <x:c r="F1" s="137"/>
      <x:c r="G1" s="137"/>
      <x:c r="H1" s="137"/>
      <x:c r="I1" s="137"/>
      <x:c r="J1" s="137"/>
      <x:c r="K1" s="137"/>
      <x:c r="L1" s="137"/>
      <x:c r="M1" s="137"/>
      <x:c r="N1" s="137"/>
      <x:c r="O1" s="137"/>
      <x:c r="P1" s="137"/>
      <x:c r="Q1" s="137"/>
      <x:c r="R1" s="137"/>
      <x:c r="S1" s="137"/>
      <x:c r="T1" s="137"/>
      <x:c r="U1" s="137"/>
      <x:c r="V1" s="137"/>
      <x:c r="W1" s="137"/>
      <x:c r="X1" s="137"/>
      <x:c r="Y1" s="137"/>
      <x:c r="Z1" s="137"/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</x:row>
    <x:row r="3" ht="32" customHeight="1">
      <x:c r="A3" s="148" t="str">
        <x:v>Источник</x:v>
      </x:c>
      <x:c r="B3" s="148" t="str">
        <x:v>URL / идентификатор</x:v>
      </x:c>
      <x:c r="C3" s="148" t="str">
        <x:v>Что взято</x:v>
      </x:c>
      <x:c r="D3" s="148" t="str">
        <x:v>Ограничение</x:v>
      </x:c>
      <x:c r="E3" s="137"/>
      <x:c r="F3" s="137"/>
      <x:c r="G3" s="137"/>
      <x:c r="H3" s="137"/>
      <x:c r="I3" s="137"/>
      <x:c r="J3" s="137"/>
      <x:c r="K3" s="137"/>
      <x:c r="L3" s="137"/>
      <x:c r="M3" s="137"/>
      <x:c r="N3" s="137"/>
      <x:c r="O3" s="137"/>
      <x:c r="P3" s="137"/>
      <x:c r="Q3" s="137"/>
      <x:c r="R3" s="137"/>
      <x:c r="S3" s="137"/>
      <x:c r="T3" s="137"/>
      <x:c r="U3" s="137"/>
      <x:c r="V3" s="137"/>
      <x:c r="W3" s="137"/>
      <x:c r="X3" s="137"/>
      <x:c r="Y3" s="137"/>
      <x:c r="Z3" s="137"/>
    </x:row>
    <x:row r="4" ht="56" customHeight="1">
      <x:c r="A4" s="212" t="str">
        <x:v>Пользовательский чертёж 1</x:v>
      </x:c>
      <x:c r="B4" s="213" t="str">
        <x:v>Прикреплённое изображение 1000141381.png</x:v>
      </x:c>
      <x:c r="C4" s="213" t="str">
        <x:v>Размерные обозначения через L: Ø0.6L, Ø0.8L, Ø0.9L, 0.1L, 0.2L, 0.5L, L, 2L</x:v>
      </x:c>
      <x:c r="D4" s="151" t="str">
        <x:v>Некоторые обозначения не привязаны однозначно к конкретной поверхности; пересчёт сделан при L=8 мм.</x:v>
      </x:c>
      <x:c r="E4" s="137"/>
      <x:c r="F4" s="137"/>
      <x:c r="G4" s="137"/>
      <x:c r="H4" s="137"/>
      <x:c r="I4" s="137"/>
      <x:c r="J4" s="137"/>
      <x:c r="K4" s="137"/>
      <x:c r="L4" s="137"/>
      <x:c r="M4" s="137"/>
      <x:c r="N4" s="137"/>
      <x:c r="O4" s="137"/>
      <x:c r="P4" s="137"/>
      <x:c r="Q4" s="137"/>
      <x:c r="R4" s="137"/>
      <x:c r="S4" s="137"/>
      <x:c r="T4" s="137"/>
      <x:c r="U4" s="137"/>
      <x:c r="V4" s="137"/>
      <x:c r="W4" s="137"/>
      <x:c r="X4" s="137"/>
      <x:c r="Y4" s="137"/>
      <x:c r="Z4" s="137"/>
    </x:row>
    <x:row r="5" ht="56" customHeight="1">
      <x:c r="A5" s="181" t="str">
        <x:v>Пользовательский чертёж 2</x:v>
      </x:c>
      <x:c r="B5" s="139" t="str">
        <x:v>Прикреплённое изображение 1000141387.png</x:v>
      </x:c>
      <x:c r="C5" s="139" t="str">
        <x:v>Шаг 7.97; расстояние 31.89; размеры 7.38 и 7.76; отверстие Ø4.8; контррасточка Ø6.2; глубина 0.8</x:v>
      </x:c>
      <x:c r="D5" s="154" t="str">
        <x:v>Числа с чертежа сохранены как наблюдения, номиналы сетки округлены отдельно.</x:v>
      </x:c>
      <x:c r="E5" s="137"/>
      <x:c r="F5" s="137"/>
      <x:c r="G5" s="137"/>
      <x:c r="H5" s="137"/>
      <x:c r="I5" s="137"/>
      <x:c r="J5" s="137"/>
      <x:c r="K5" s="137"/>
      <x:c r="L5" s="137"/>
      <x:c r="M5" s="137"/>
      <x:c r="N5" s="137"/>
      <x:c r="O5" s="137"/>
      <x:c r="P5" s="137"/>
      <x:c r="Q5" s="137"/>
      <x:c r="R5" s="137"/>
      <x:c r="S5" s="137"/>
      <x:c r="T5" s="137"/>
      <x:c r="U5" s="137"/>
      <x:c r="V5" s="137"/>
      <x:c r="W5" s="137"/>
      <x:c r="X5" s="137"/>
      <x:c r="Y5" s="137"/>
      <x:c r="Z5" s="137"/>
    </x:row>
    <x:row r="6" ht="56" customHeight="1">
      <x:c r="A6" s="181" t="str">
        <x:v>Пользовательский чертёж 3</x:v>
      </x:c>
      <x:c r="B6" s="139" t="str">
        <x:v>Прикреплённое изображение 1000141384.png</x:v>
      </x:c>
      <x:c r="C6" s="139" t="str">
        <x:v>Длина 23.4; ширина 7.4; высота 7.8; шаг 8.0; Ø4.8; Ø6.4; 0.8</x:v>
      </x:c>
      <x:c r="D6" s="154" t="str">
        <x:v>Различие Ø6.2/Ø6.4 и 23.4/24.0 оставлено открытым.</x:v>
      </x:c>
      <x:c r="E6" s="137"/>
      <x:c r="F6" s="137"/>
      <x:c r="G6" s="137"/>
      <x:c r="H6" s="137"/>
      <x:c r="I6" s="137"/>
      <x:c r="J6" s="137"/>
      <x:c r="K6" s="137"/>
      <x:c r="L6" s="137"/>
      <x:c r="M6" s="137"/>
      <x:c r="N6" s="137"/>
      <x:c r="O6" s="137"/>
      <x:c r="P6" s="137"/>
      <x:c r="Q6" s="137"/>
      <x:c r="R6" s="137"/>
      <x:c r="S6" s="137"/>
      <x:c r="T6" s="137"/>
      <x:c r="U6" s="137"/>
      <x:c r="V6" s="137"/>
      <x:c r="W6" s="137"/>
      <x:c r="X6" s="137"/>
      <x:c r="Y6" s="137"/>
      <x:c r="Z6" s="137"/>
    </x:row>
    <x:row r="7" ht="56" customHeight="1">
      <x:c r="A7" s="181" t="str">
        <x:v>Cailliau — LEGO dimensions</x:v>
      </x:c>
      <x:c r="B7" s="139" t="str">
        <x:v>https://www.cailliau.org/Alphabetical/L/Lego/Dimensions/More%20Dimensions/%20More%20Dimensions-en.html</x:v>
      </x:c>
      <x:c r="C7" s="139" t="str">
        <x:v>Измерительный разбор диаметра отверстия около 4.9; контррасточка Ø6.2 и глубина 0.8–0.9; геометрия толщины 7.4/7.8</x:v>
      </x:c>
      <x:c r="D7" s="154" t="str">
        <x:v>Независимые измерения, не официальный заводской чертёж LEGO.</x:v>
      </x:c>
      <x:c r="E7" s="137"/>
      <x:c r="F7" s="137"/>
      <x:c r="G7" s="137"/>
      <x:c r="H7" s="137"/>
      <x:c r="I7" s="137"/>
      <x:c r="J7" s="137"/>
      <x:c r="K7" s="137"/>
      <x:c r="L7" s="137"/>
      <x:c r="M7" s="137"/>
      <x:c r="N7" s="137"/>
      <x:c r="O7" s="137"/>
      <x:c r="P7" s="137"/>
      <x:c r="Q7" s="137"/>
      <x:c r="R7" s="137"/>
      <x:c r="S7" s="137"/>
      <x:c r="T7" s="137"/>
      <x:c r="U7" s="137"/>
      <x:c r="V7" s="137"/>
      <x:c r="W7" s="137"/>
      <x:c r="X7" s="137"/>
      <x:c r="Y7" s="137"/>
      <x:c r="Z7" s="137"/>
    </x:row>
    <x:row r="8" ht="56" customHeight="1">
      <x:c r="A8" s="181" t="str">
        <x:v>Kapy CAD — LEGO Technic: holes, pins and cross axles</x:v>
      </x:c>
      <x:c r="B8" s="139" t="str">
        <x:v>https://kapycad.com/en/academy/standards/lego-technic</x:v>
      </x:c>
      <x:c r="C8" s="139" t="str">
        <x:v>Сетка 8 мм; номинал отверстия около 4.8; крестовой профиль; замечание о печатных зазорах и тестировании</x:v>
      </x:c>
      <x:c r="D8" s="154" t="str">
        <x:v>Справочник обратного проектирования; значения номинальные, не заводские допуски.</x:v>
      </x:c>
      <x:c r="E8" s="137"/>
      <x:c r="F8" s="137"/>
      <x:c r="G8" s="137"/>
      <x:c r="H8" s="137"/>
      <x:c r="I8" s="137"/>
      <x:c r="J8" s="137"/>
      <x:c r="K8" s="137"/>
      <x:c r="L8" s="137"/>
      <x:c r="M8" s="137"/>
      <x:c r="N8" s="137"/>
      <x:c r="O8" s="137"/>
      <x:c r="P8" s="137"/>
      <x:c r="Q8" s="137"/>
      <x:c r="R8" s="137"/>
      <x:c r="S8" s="137"/>
      <x:c r="T8" s="137"/>
      <x:c r="U8" s="137"/>
      <x:c r="V8" s="137"/>
      <x:c r="W8" s="137"/>
      <x:c r="X8" s="137"/>
      <x:c r="Y8" s="137"/>
      <x:c r="Z8" s="137"/>
    </x:row>
    <x:row r="9" ht="56" customHeight="1">
      <x:c r="A9" s="215" t="str">
        <x:v>LEGO Help — Tips for building with Technic</x:v>
      </x:c>
      <x:c r="B9" s="216" t="str">
        <x:v>https://www.lego.com/en-au/service/help-topics/article/tips-for-building-with-lego-technic-elements</x:v>
      </x:c>
      <x:c r="C9" s="216" t="str">
        <x:v>Подтверждение принципа длины в «студах»/позициях отверстий и внимания к свободному вращению</x:v>
      </x:c>
      <x:c r="D9" s="157" t="str">
        <x:v>Статья LEGO не содержит полного размерного чертежа в мм.</x:v>
      </x:c>
      <x:c r="E9" s="137"/>
      <x:c r="F9" s="137"/>
      <x:c r="G9" s="137"/>
      <x:c r="H9" s="137"/>
      <x:c r="I9" s="137"/>
      <x:c r="J9" s="137"/>
      <x:c r="K9" s="137"/>
      <x:c r="L9" s="137"/>
      <x:c r="M9" s="137"/>
      <x:c r="N9" s="137"/>
      <x:c r="O9" s="137"/>
      <x:c r="P9" s="137"/>
      <x:c r="Q9" s="137"/>
      <x:c r="R9" s="137"/>
      <x:c r="S9" s="137"/>
      <x:c r="T9" s="137"/>
      <x:c r="U9" s="137"/>
      <x:c r="V9" s="137"/>
      <x:c r="W9" s="137"/>
      <x:c r="X9" s="137"/>
      <x:c r="Y9" s="137"/>
      <x:c r="Z9" s="137"/>
    </x:row>
    <x:row r="10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  <x:c r="L10" s="137"/>
      <x:c r="M10" s="137"/>
      <x:c r="N10" s="137"/>
      <x:c r="O10" s="137"/>
      <x:c r="P10" s="137"/>
      <x:c r="Q10" s="137"/>
      <x:c r="R10" s="137"/>
      <x:c r="S10" s="137"/>
      <x:c r="T10" s="137"/>
      <x:c r="U10" s="137"/>
      <x:c r="V10" s="137"/>
      <x:c r="W10" s="137"/>
      <x:c r="X10" s="137"/>
      <x:c r="Y10" s="137"/>
      <x:c r="Z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  <x:c r="O11" s="137"/>
      <x:c r="P11" s="137"/>
      <x:c r="Q11" s="137"/>
      <x:c r="R11" s="137"/>
      <x:c r="S11" s="137"/>
      <x:c r="T11" s="137"/>
      <x:c r="U11" s="137"/>
      <x:c r="V11" s="137"/>
      <x:c r="W11" s="137"/>
      <x:c r="X11" s="137"/>
      <x:c r="Y11" s="137"/>
      <x:c r="Z11" s="137"/>
    </x:row>
    <x:row r="12">
      <x:c r="A12" s="137"/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7"/>
      <x:c r="L12" s="137"/>
      <x:c r="M12" s="137"/>
      <x:c r="N12" s="137"/>
      <x:c r="O12" s="137"/>
      <x:c r="P12" s="137"/>
      <x:c r="Q12" s="137"/>
      <x:c r="R12" s="137"/>
      <x:c r="S12" s="137"/>
      <x:c r="T12" s="137"/>
      <x:c r="U12" s="137"/>
      <x:c r="V12" s="137"/>
      <x:c r="W12" s="137"/>
      <x:c r="X12" s="137"/>
      <x:c r="Y12" s="137"/>
      <x:c r="Z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  <x:c r="O13" s="137"/>
      <x:c r="P13" s="137"/>
      <x:c r="Q13" s="137"/>
      <x:c r="R13" s="137"/>
      <x:c r="S13" s="137"/>
      <x:c r="T13" s="137"/>
      <x:c r="U13" s="137"/>
      <x:c r="V13" s="137"/>
      <x:c r="W13" s="137"/>
      <x:c r="X13" s="137"/>
      <x:c r="Y13" s="137"/>
      <x:c r="Z13" s="137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7"/>
      <x:c r="U14" s="137"/>
      <x:c r="V14" s="137"/>
      <x:c r="W14" s="137"/>
      <x:c r="X14" s="137"/>
      <x:c r="Y14" s="137"/>
      <x:c r="Z14" s="137"/>
    </x:row>
    <x:row r="15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  <x:c r="O15" s="137"/>
      <x:c r="P15" s="137"/>
      <x:c r="Q15" s="137"/>
      <x:c r="R15" s="137"/>
      <x:c r="S15" s="137"/>
      <x:c r="T15" s="137"/>
      <x:c r="U15" s="137"/>
      <x:c r="V15" s="137"/>
      <x:c r="W15" s="137"/>
      <x:c r="X15" s="137"/>
      <x:c r="Y15" s="137"/>
      <x:c r="Z15" s="137"/>
    </x:row>
    <x:row r="16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37"/>
      <x:c r="M16" s="137"/>
      <x:c r="N16" s="137"/>
      <x:c r="O16" s="137"/>
      <x:c r="P16" s="137"/>
      <x:c r="Q16" s="137"/>
      <x:c r="R16" s="137"/>
      <x:c r="S16" s="137"/>
      <x:c r="T16" s="137"/>
      <x:c r="U16" s="137"/>
      <x:c r="V16" s="137"/>
      <x:c r="W16" s="137"/>
      <x:c r="X16" s="137"/>
      <x:c r="Y16" s="137"/>
      <x:c r="Z16" s="137"/>
    </x:row>
    <x:row r="17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  <x:c r="O17" s="137"/>
      <x:c r="P17" s="137"/>
      <x:c r="Q17" s="137"/>
      <x:c r="R17" s="137"/>
      <x:c r="S17" s="137"/>
      <x:c r="T17" s="137"/>
      <x:c r="U17" s="137"/>
      <x:c r="V17" s="137"/>
      <x:c r="W17" s="137"/>
      <x:c r="X17" s="137"/>
      <x:c r="Y17" s="137"/>
      <x:c r="Z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O18" s="137"/>
      <x:c r="P18" s="137"/>
      <x:c r="Q18" s="137"/>
      <x:c r="R18" s="137"/>
      <x:c r="S18" s="137"/>
      <x:c r="T18" s="137"/>
      <x:c r="U18" s="137"/>
      <x:c r="V18" s="137"/>
      <x:c r="W18" s="137"/>
      <x:c r="X18" s="137"/>
      <x:c r="Y18" s="137"/>
      <x:c r="Z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O19" s="137"/>
      <x:c r="P19" s="137"/>
      <x:c r="Q19" s="137"/>
      <x:c r="R19" s="137"/>
      <x:c r="S19" s="137"/>
      <x:c r="T19" s="137"/>
      <x:c r="U19" s="137"/>
      <x:c r="V19" s="137"/>
      <x:c r="W19" s="137"/>
      <x:c r="X19" s="137"/>
      <x:c r="Y19" s="137"/>
      <x:c r="Z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O20" s="137"/>
      <x:c r="P20" s="137"/>
      <x:c r="Q20" s="137"/>
      <x:c r="R20" s="137"/>
      <x:c r="S20" s="137"/>
      <x:c r="T20" s="137"/>
      <x:c r="U20" s="137"/>
      <x:c r="V20" s="137"/>
      <x:c r="W20" s="137"/>
      <x:c r="X20" s="137"/>
      <x:c r="Y20" s="137"/>
      <x:c r="Z20" s="137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O21" s="137"/>
      <x:c r="P21" s="137"/>
      <x:c r="Q21" s="137"/>
      <x:c r="R21" s="137"/>
      <x:c r="S21" s="137"/>
      <x:c r="T21" s="137"/>
      <x:c r="U21" s="137"/>
      <x:c r="V21" s="137"/>
      <x:c r="W21" s="137"/>
      <x:c r="X21" s="137"/>
      <x:c r="Y21" s="137"/>
      <x:c r="Z21" s="137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O22" s="137"/>
      <x:c r="P22" s="137"/>
      <x:c r="Q22" s="137"/>
      <x:c r="R22" s="137"/>
      <x:c r="S22" s="137"/>
      <x:c r="T22" s="137"/>
      <x:c r="U22" s="137"/>
      <x:c r="V22" s="137"/>
      <x:c r="W22" s="137"/>
      <x:c r="X22" s="137"/>
      <x:c r="Y22" s="137"/>
      <x:c r="Z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O23" s="137"/>
      <x:c r="P23" s="137"/>
      <x:c r="Q23" s="137"/>
      <x:c r="R23" s="137"/>
      <x:c r="S23" s="137"/>
      <x:c r="T23" s="137"/>
      <x:c r="U23" s="137"/>
      <x:c r="V23" s="137"/>
      <x:c r="W23" s="137"/>
      <x:c r="X23" s="137"/>
      <x:c r="Y23" s="137"/>
      <x:c r="Z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O24" s="137"/>
      <x:c r="P24" s="137"/>
      <x:c r="Q24" s="137"/>
      <x:c r="R24" s="137"/>
      <x:c r="S24" s="137"/>
      <x:c r="T24" s="137"/>
      <x:c r="U24" s="137"/>
      <x:c r="V24" s="137"/>
      <x:c r="W24" s="137"/>
      <x:c r="X24" s="137"/>
      <x:c r="Y24" s="137"/>
      <x:c r="Z24" s="137"/>
    </x:row>
    <x:row r="25">
      <x:c r="A25" s="137"/>
      <x:c r="B25" s="137"/>
      <x:c r="C25" s="137"/>
      <x:c r="D25" s="137"/>
      <x:c r="E25" s="137"/>
      <x:c r="F25" s="137"/>
      <x:c r="G25" s="137"/>
      <x:c r="H25" s="137"/>
      <x:c r="I25" s="137"/>
      <x:c r="J25" s="137"/>
      <x:c r="K25" s="137"/>
      <x:c r="L25" s="137"/>
      <x:c r="M25" s="137"/>
      <x:c r="N25" s="137"/>
      <x:c r="O25" s="137"/>
      <x:c r="P25" s="137"/>
      <x:c r="Q25" s="137"/>
      <x:c r="R25" s="137"/>
      <x:c r="S25" s="137"/>
      <x:c r="T25" s="137"/>
      <x:c r="U25" s="137"/>
      <x:c r="V25" s="137"/>
      <x:c r="W25" s="137"/>
      <x:c r="X25" s="137"/>
      <x:c r="Y25" s="137"/>
      <x:c r="Z25" s="137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O26" s="137"/>
      <x:c r="P26" s="137"/>
      <x:c r="Q26" s="137"/>
      <x:c r="R26" s="137"/>
      <x:c r="S26" s="137"/>
      <x:c r="T26" s="137"/>
      <x:c r="U26" s="137"/>
      <x:c r="V26" s="137"/>
      <x:c r="W26" s="137"/>
      <x:c r="X26" s="137"/>
      <x:c r="Y26" s="137"/>
      <x:c r="Z26" s="137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O27" s="137"/>
      <x:c r="P27" s="137"/>
      <x:c r="Q27" s="137"/>
      <x:c r="R27" s="137"/>
      <x:c r="S27" s="137"/>
      <x:c r="T27" s="137"/>
      <x:c r="U27" s="137"/>
      <x:c r="V27" s="137"/>
      <x:c r="W27" s="137"/>
      <x:c r="X27" s="137"/>
      <x:c r="Y27" s="137"/>
      <x:c r="Z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O28" s="137"/>
      <x:c r="P28" s="137"/>
      <x:c r="Q28" s="137"/>
      <x:c r="R28" s="137"/>
      <x:c r="S28" s="137"/>
      <x:c r="T28" s="137"/>
      <x:c r="U28" s="137"/>
      <x:c r="V28" s="137"/>
      <x:c r="W28" s="137"/>
      <x:c r="X28" s="137"/>
      <x:c r="Y28" s="137"/>
      <x:c r="Z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O29" s="137"/>
      <x:c r="P29" s="137"/>
      <x:c r="Q29" s="137"/>
      <x:c r="R29" s="137"/>
      <x:c r="S29" s="137"/>
      <x:c r="T29" s="137"/>
      <x:c r="U29" s="137"/>
      <x:c r="V29" s="137"/>
      <x:c r="W29" s="137"/>
      <x:c r="X29" s="137"/>
      <x:c r="Y29" s="137"/>
      <x:c r="Z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O30" s="137"/>
      <x:c r="P30" s="137"/>
      <x:c r="Q30" s="137"/>
      <x:c r="R30" s="137"/>
      <x:c r="S30" s="137"/>
      <x:c r="T30" s="137"/>
      <x:c r="U30" s="137"/>
      <x:c r="V30" s="137"/>
      <x:c r="W30" s="137"/>
      <x:c r="X30" s="137"/>
      <x:c r="Y30" s="137"/>
      <x:c r="Z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O31" s="137"/>
      <x:c r="P31" s="137"/>
      <x:c r="Q31" s="137"/>
      <x:c r="R31" s="137"/>
      <x:c r="S31" s="137"/>
      <x:c r="T31" s="137"/>
      <x:c r="U31" s="137"/>
      <x:c r="V31" s="137"/>
      <x:c r="W31" s="137"/>
      <x:c r="X31" s="137"/>
      <x:c r="Y31" s="137"/>
      <x:c r="Z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O32" s="137"/>
      <x:c r="P32" s="137"/>
      <x:c r="Q32" s="137"/>
      <x:c r="R32" s="137"/>
      <x:c r="S32" s="137"/>
      <x:c r="T32" s="137"/>
      <x:c r="U32" s="137"/>
      <x:c r="V32" s="137"/>
      <x:c r="W32" s="137"/>
      <x:c r="X32" s="137"/>
      <x:c r="Y32" s="137"/>
      <x:c r="Z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O33" s="137"/>
      <x:c r="P33" s="137"/>
      <x:c r="Q33" s="137"/>
      <x:c r="R33" s="137"/>
      <x:c r="S33" s="137"/>
      <x:c r="T33" s="137"/>
      <x:c r="U33" s="137"/>
      <x:c r="V33" s="137"/>
      <x:c r="W33" s="137"/>
      <x:c r="X33" s="137"/>
      <x:c r="Y33" s="137"/>
      <x:c r="Z33" s="137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O34" s="137"/>
      <x:c r="P34" s="137"/>
      <x:c r="Q34" s="137"/>
      <x:c r="R34" s="137"/>
      <x:c r="S34" s="137"/>
      <x:c r="T34" s="137"/>
      <x:c r="U34" s="137"/>
      <x:c r="V34" s="137"/>
      <x:c r="W34" s="137"/>
      <x:c r="X34" s="137"/>
      <x:c r="Y34" s="137"/>
      <x:c r="Z34" s="137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O35" s="137"/>
      <x:c r="P35" s="137"/>
      <x:c r="Q35" s="137"/>
      <x:c r="R35" s="137"/>
      <x:c r="S35" s="137"/>
      <x:c r="T35" s="137"/>
      <x:c r="U35" s="137"/>
      <x:c r="V35" s="137"/>
      <x:c r="W35" s="137"/>
      <x:c r="X35" s="137"/>
      <x:c r="Y35" s="137"/>
      <x:c r="Z35" s="137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O36" s="137"/>
      <x:c r="P36" s="137"/>
      <x:c r="Q36" s="137"/>
      <x:c r="R36" s="137"/>
      <x:c r="S36" s="137"/>
      <x:c r="T36" s="137"/>
      <x:c r="U36" s="137"/>
      <x:c r="V36" s="137"/>
      <x:c r="W36" s="137"/>
      <x:c r="X36" s="137"/>
      <x:c r="Y36" s="137"/>
      <x:c r="Z36" s="137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O37" s="137"/>
      <x:c r="P37" s="137"/>
      <x:c r="Q37" s="137"/>
      <x:c r="R37" s="137"/>
      <x:c r="S37" s="137"/>
      <x:c r="T37" s="137"/>
      <x:c r="U37" s="137"/>
      <x:c r="V37" s="137"/>
      <x:c r="W37" s="137"/>
      <x:c r="X37" s="137"/>
      <x:c r="Y37" s="137"/>
      <x:c r="Z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O38" s="137"/>
      <x:c r="P38" s="137"/>
      <x:c r="Q38" s="137"/>
      <x:c r="R38" s="137"/>
      <x:c r="S38" s="137"/>
      <x:c r="T38" s="137"/>
      <x:c r="U38" s="137"/>
      <x:c r="V38" s="137"/>
      <x:c r="W38" s="137"/>
      <x:c r="X38" s="137"/>
      <x:c r="Y38" s="137"/>
      <x:c r="Z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O39" s="137"/>
      <x:c r="P39" s="137"/>
      <x:c r="Q39" s="137"/>
      <x:c r="R39" s="137"/>
      <x:c r="S39" s="137"/>
      <x:c r="T39" s="137"/>
      <x:c r="U39" s="137"/>
      <x:c r="V39" s="137"/>
      <x:c r="W39" s="137"/>
      <x:c r="X39" s="137"/>
      <x:c r="Y39" s="137"/>
      <x:c r="Z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  <x:c r="J40" s="137"/>
      <x:c r="K40" s="137"/>
      <x:c r="L40" s="137"/>
      <x:c r="M40" s="137"/>
      <x:c r="N40" s="137"/>
      <x:c r="O40" s="137"/>
      <x:c r="P40" s="137"/>
      <x:c r="Q40" s="137"/>
      <x:c r="R40" s="137"/>
      <x:c r="S40" s="137"/>
      <x:c r="T40" s="137"/>
      <x:c r="U40" s="137"/>
      <x:c r="V40" s="137"/>
      <x:c r="W40" s="137"/>
      <x:c r="X40" s="137"/>
      <x:c r="Y40" s="137"/>
      <x:c r="Z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O41" s="137"/>
      <x:c r="P41" s="137"/>
      <x:c r="Q41" s="137"/>
      <x:c r="R41" s="137"/>
      <x:c r="S41" s="137"/>
      <x:c r="T41" s="137"/>
      <x:c r="U41" s="137"/>
      <x:c r="V41" s="137"/>
      <x:c r="W41" s="137"/>
      <x:c r="X41" s="137"/>
      <x:c r="Y41" s="137"/>
      <x:c r="Z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O42" s="137"/>
      <x:c r="P42" s="137"/>
      <x:c r="Q42" s="137"/>
      <x:c r="R42" s="137"/>
      <x:c r="S42" s="137"/>
      <x:c r="T42" s="137"/>
      <x:c r="U42" s="137"/>
      <x:c r="V42" s="137"/>
      <x:c r="W42" s="137"/>
      <x:c r="X42" s="137"/>
      <x:c r="Y42" s="137"/>
      <x:c r="Z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O43" s="137"/>
      <x:c r="P43" s="137"/>
      <x:c r="Q43" s="137"/>
      <x:c r="R43" s="137"/>
      <x:c r="S43" s="137"/>
      <x:c r="T43" s="137"/>
      <x:c r="U43" s="137"/>
      <x:c r="V43" s="137"/>
      <x:c r="W43" s="137"/>
      <x:c r="X43" s="137"/>
      <x:c r="Y43" s="137"/>
      <x:c r="Z43" s="137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O44" s="137"/>
      <x:c r="P44" s="137"/>
      <x:c r="Q44" s="137"/>
      <x:c r="R44" s="137"/>
      <x:c r="S44" s="137"/>
      <x:c r="T44" s="137"/>
      <x:c r="U44" s="137"/>
      <x:c r="V44" s="137"/>
      <x:c r="W44" s="137"/>
      <x:c r="X44" s="137"/>
      <x:c r="Y44" s="137"/>
      <x:c r="Z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O45" s="137"/>
      <x:c r="P45" s="137"/>
      <x:c r="Q45" s="137"/>
      <x:c r="R45" s="137"/>
      <x:c r="S45" s="137"/>
      <x:c r="T45" s="137"/>
      <x:c r="U45" s="137"/>
      <x:c r="V45" s="137"/>
      <x:c r="W45" s="137"/>
      <x:c r="X45" s="137"/>
      <x:c r="Y45" s="137"/>
      <x:c r="Z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O46" s="137"/>
      <x:c r="P46" s="137"/>
      <x:c r="Q46" s="137"/>
      <x:c r="R46" s="137"/>
      <x:c r="S46" s="137"/>
      <x:c r="T46" s="137"/>
      <x:c r="U46" s="137"/>
      <x:c r="V46" s="137"/>
      <x:c r="W46" s="137"/>
      <x:c r="X46" s="137"/>
      <x:c r="Y46" s="137"/>
      <x:c r="Z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O47" s="137"/>
      <x:c r="P47" s="137"/>
      <x:c r="Q47" s="137"/>
      <x:c r="R47" s="137"/>
      <x:c r="S47" s="137"/>
      <x:c r="T47" s="137"/>
      <x:c r="U47" s="137"/>
      <x:c r="V47" s="137"/>
      <x:c r="W47" s="137"/>
      <x:c r="X47" s="137"/>
      <x:c r="Y47" s="137"/>
      <x:c r="Z47" s="13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O48" s="137"/>
      <x:c r="P48" s="137"/>
      <x:c r="Q48" s="137"/>
      <x:c r="R48" s="137"/>
      <x:c r="S48" s="137"/>
      <x:c r="T48" s="137"/>
      <x:c r="U48" s="137"/>
      <x:c r="V48" s="137"/>
      <x:c r="W48" s="137"/>
      <x:c r="X48" s="137"/>
      <x:c r="Y48" s="137"/>
      <x:c r="Z48" s="137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7"/>
      <x:c r="S49" s="137"/>
      <x:c r="T49" s="137"/>
      <x:c r="U49" s="137"/>
      <x:c r="V49" s="137"/>
      <x:c r="W49" s="137"/>
      <x:c r="X49" s="137"/>
      <x:c r="Y49" s="137"/>
      <x:c r="Z49" s="137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7"/>
      <x:c r="S50" s="137"/>
      <x:c r="T50" s="137"/>
      <x:c r="U50" s="137"/>
      <x:c r="V50" s="137"/>
      <x:c r="W50" s="137"/>
      <x:c r="X50" s="137"/>
      <x:c r="Y50" s="137"/>
      <x:c r="Z50" s="137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O51" s="137"/>
      <x:c r="P51" s="137"/>
      <x:c r="Q51" s="137"/>
      <x:c r="R51" s="137"/>
      <x:c r="S51" s="137"/>
      <x:c r="T51" s="137"/>
      <x:c r="U51" s="137"/>
      <x:c r="V51" s="137"/>
      <x:c r="W51" s="137"/>
      <x:c r="X51" s="137"/>
      <x:c r="Y51" s="137"/>
      <x:c r="Z51" s="137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O52" s="137"/>
      <x:c r="P52" s="137"/>
      <x:c r="Q52" s="137"/>
      <x:c r="R52" s="137"/>
      <x:c r="S52" s="137"/>
      <x:c r="T52" s="137"/>
      <x:c r="U52" s="137"/>
      <x:c r="V52" s="137"/>
      <x:c r="W52" s="137"/>
      <x:c r="X52" s="137"/>
      <x:c r="Y52" s="137"/>
      <x:c r="Z52" s="137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O53" s="137"/>
      <x:c r="P53" s="137"/>
      <x:c r="Q53" s="137"/>
      <x:c r="R53" s="137"/>
      <x:c r="S53" s="137"/>
      <x:c r="T53" s="137"/>
      <x:c r="U53" s="137"/>
      <x:c r="V53" s="137"/>
      <x:c r="W53" s="137"/>
      <x:c r="X53" s="137"/>
      <x:c r="Y53" s="137"/>
      <x:c r="Z53" s="137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O54" s="137"/>
      <x:c r="P54" s="137"/>
      <x:c r="Q54" s="137"/>
      <x:c r="R54" s="137"/>
      <x:c r="S54" s="137"/>
      <x:c r="T54" s="137"/>
      <x:c r="U54" s="137"/>
      <x:c r="V54" s="137"/>
      <x:c r="W54" s="137"/>
      <x:c r="X54" s="137"/>
      <x:c r="Y54" s="137"/>
      <x:c r="Z54" s="137"/>
    </x:row>
    <x:row r="55">
      <x:c r="A55" s="137"/>
      <x:c r="B55" s="137"/>
      <x:c r="C55" s="137"/>
      <x:c r="D55" s="137"/>
      <x:c r="E55" s="137"/>
      <x:c r="F55" s="137"/>
      <x:c r="G55" s="137"/>
      <x:c r="H55" s="137"/>
      <x:c r="I55" s="137"/>
      <x:c r="J55" s="137"/>
      <x:c r="K55" s="137"/>
      <x:c r="L55" s="137"/>
      <x:c r="M55" s="137"/>
      <x:c r="N55" s="137"/>
      <x:c r="O55" s="137"/>
      <x:c r="P55" s="137"/>
      <x:c r="Q55" s="137"/>
      <x:c r="R55" s="137"/>
      <x:c r="S55" s="137"/>
      <x:c r="T55" s="137"/>
      <x:c r="U55" s="137"/>
      <x:c r="V55" s="137"/>
      <x:c r="W55" s="137"/>
      <x:c r="X55" s="137"/>
      <x:c r="Y55" s="137"/>
      <x:c r="Z55" s="137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O56" s="137"/>
      <x:c r="P56" s="137"/>
      <x:c r="Q56" s="137"/>
      <x:c r="R56" s="137"/>
      <x:c r="S56" s="137"/>
      <x:c r="T56" s="137"/>
      <x:c r="U56" s="137"/>
      <x:c r="V56" s="137"/>
      <x:c r="W56" s="137"/>
      <x:c r="X56" s="137"/>
      <x:c r="Y56" s="137"/>
      <x:c r="Z56" s="137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O57" s="137"/>
      <x:c r="P57" s="137"/>
      <x:c r="Q57" s="137"/>
      <x:c r="R57" s="137"/>
      <x:c r="S57" s="137"/>
      <x:c r="T57" s="137"/>
      <x:c r="U57" s="137"/>
      <x:c r="V57" s="137"/>
      <x:c r="W57" s="137"/>
      <x:c r="X57" s="137"/>
      <x:c r="Y57" s="137"/>
      <x:c r="Z57" s="13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O58" s="137"/>
      <x:c r="P58" s="137"/>
      <x:c r="Q58" s="137"/>
      <x:c r="R58" s="137"/>
      <x:c r="S58" s="137"/>
      <x:c r="T58" s="137"/>
      <x:c r="U58" s="137"/>
      <x:c r="V58" s="137"/>
      <x:c r="W58" s="137"/>
      <x:c r="X58" s="137"/>
      <x:c r="Y58" s="137"/>
      <x:c r="Z58" s="137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O59" s="137"/>
      <x:c r="P59" s="137"/>
      <x:c r="Q59" s="137"/>
      <x:c r="R59" s="137"/>
      <x:c r="S59" s="137"/>
      <x:c r="T59" s="137"/>
      <x:c r="U59" s="137"/>
      <x:c r="V59" s="137"/>
      <x:c r="W59" s="137"/>
      <x:c r="X59" s="137"/>
      <x:c r="Y59" s="137"/>
      <x:c r="Z59" s="137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O60" s="137"/>
      <x:c r="P60" s="137"/>
      <x:c r="Q60" s="137"/>
      <x:c r="R60" s="137"/>
      <x:c r="S60" s="137"/>
      <x:c r="T60" s="137"/>
      <x:c r="U60" s="137"/>
      <x:c r="V60" s="137"/>
      <x:c r="W60" s="137"/>
      <x:c r="X60" s="137"/>
      <x:c r="Y60" s="137"/>
      <x:c r="Z60" s="137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O61" s="137"/>
      <x:c r="P61" s="137"/>
      <x:c r="Q61" s="137"/>
      <x:c r="R61" s="137"/>
      <x:c r="S61" s="137"/>
      <x:c r="T61" s="137"/>
      <x:c r="U61" s="137"/>
      <x:c r="V61" s="137"/>
      <x:c r="W61" s="137"/>
      <x:c r="X61" s="137"/>
      <x:c r="Y61" s="137"/>
      <x:c r="Z61" s="137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O62" s="137"/>
      <x:c r="P62" s="137"/>
      <x:c r="Q62" s="137"/>
      <x:c r="R62" s="137"/>
      <x:c r="S62" s="137"/>
      <x:c r="T62" s="137"/>
      <x:c r="U62" s="137"/>
      <x:c r="V62" s="137"/>
      <x:c r="W62" s="137"/>
      <x:c r="X62" s="137"/>
      <x:c r="Y62" s="137"/>
      <x:c r="Z62" s="137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O63" s="137"/>
      <x:c r="P63" s="137"/>
      <x:c r="Q63" s="137"/>
      <x:c r="R63" s="137"/>
      <x:c r="S63" s="137"/>
      <x:c r="T63" s="137"/>
      <x:c r="U63" s="137"/>
      <x:c r="V63" s="137"/>
      <x:c r="W63" s="137"/>
      <x:c r="X63" s="137"/>
      <x:c r="Y63" s="137"/>
      <x:c r="Z63" s="137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O64" s="137"/>
      <x:c r="P64" s="137"/>
      <x:c r="Q64" s="137"/>
      <x:c r="R64" s="137"/>
      <x:c r="S64" s="137"/>
      <x:c r="T64" s="137"/>
      <x:c r="U64" s="137"/>
      <x:c r="V64" s="137"/>
      <x:c r="W64" s="137"/>
      <x:c r="X64" s="137"/>
      <x:c r="Y64" s="137"/>
      <x:c r="Z64" s="137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O65" s="137"/>
      <x:c r="P65" s="137"/>
      <x:c r="Q65" s="137"/>
      <x:c r="R65" s="137"/>
      <x:c r="S65" s="137"/>
      <x:c r="T65" s="137"/>
      <x:c r="U65" s="137"/>
      <x:c r="V65" s="137"/>
      <x:c r="W65" s="137"/>
      <x:c r="X65" s="137"/>
      <x:c r="Y65" s="137"/>
      <x:c r="Z65" s="137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O66" s="137"/>
      <x:c r="P66" s="137"/>
      <x:c r="Q66" s="137"/>
      <x:c r="R66" s="137"/>
      <x:c r="S66" s="137"/>
      <x:c r="T66" s="137"/>
      <x:c r="U66" s="137"/>
      <x:c r="V66" s="137"/>
      <x:c r="W66" s="137"/>
      <x:c r="X66" s="137"/>
      <x:c r="Y66" s="137"/>
      <x:c r="Z66" s="137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O67" s="137"/>
      <x:c r="P67" s="137"/>
      <x:c r="Q67" s="137"/>
      <x:c r="R67" s="137"/>
      <x:c r="S67" s="137"/>
      <x:c r="T67" s="137"/>
      <x:c r="U67" s="137"/>
      <x:c r="V67" s="137"/>
      <x:c r="W67" s="137"/>
      <x:c r="X67" s="137"/>
      <x:c r="Y67" s="137"/>
      <x:c r="Z67" s="13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O68" s="137"/>
      <x:c r="P68" s="137"/>
      <x:c r="Q68" s="137"/>
      <x:c r="R68" s="137"/>
      <x:c r="S68" s="137"/>
      <x:c r="T68" s="137"/>
      <x:c r="U68" s="137"/>
      <x:c r="V68" s="137"/>
      <x:c r="W68" s="137"/>
      <x:c r="X68" s="137"/>
      <x:c r="Y68" s="137"/>
      <x:c r="Z68" s="137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O69" s="137"/>
      <x:c r="P69" s="137"/>
      <x:c r="Q69" s="137"/>
      <x:c r="R69" s="137"/>
      <x:c r="S69" s="137"/>
      <x:c r="T69" s="137"/>
      <x:c r="U69" s="137"/>
      <x:c r="V69" s="137"/>
      <x:c r="W69" s="137"/>
      <x:c r="X69" s="137"/>
      <x:c r="Y69" s="137"/>
      <x:c r="Z69" s="137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O70" s="137"/>
      <x:c r="P70" s="137"/>
      <x:c r="Q70" s="137"/>
      <x:c r="R70" s="137"/>
      <x:c r="S70" s="137"/>
      <x:c r="T70" s="137"/>
      <x:c r="U70" s="137"/>
      <x:c r="V70" s="137"/>
      <x:c r="W70" s="137"/>
      <x:c r="X70" s="137"/>
      <x:c r="Y70" s="137"/>
      <x:c r="Z70" s="137"/>
    </x:row>
    <x:row r="71">
      <x:c r="A71" s="137"/>
      <x:c r="B71" s="137"/>
      <x:c r="C71" s="137"/>
      <x:c r="D71" s="137"/>
      <x:c r="E71" s="137"/>
      <x:c r="F71" s="137"/>
      <x:c r="G71" s="137"/>
      <x:c r="H71" s="137"/>
      <x:c r="I71" s="137"/>
      <x:c r="J71" s="137"/>
      <x:c r="K71" s="137"/>
      <x:c r="L71" s="137"/>
      <x:c r="M71" s="137"/>
      <x:c r="N71" s="137"/>
      <x:c r="O71" s="137"/>
      <x:c r="P71" s="137"/>
      <x:c r="Q71" s="137"/>
      <x:c r="R71" s="137"/>
      <x:c r="S71" s="137"/>
      <x:c r="T71" s="137"/>
      <x:c r="U71" s="137"/>
      <x:c r="V71" s="137"/>
      <x:c r="W71" s="137"/>
      <x:c r="X71" s="137"/>
      <x:c r="Y71" s="137"/>
      <x:c r="Z71" s="137"/>
    </x:row>
    <x:row r="72">
      <x:c r="A72" s="137"/>
      <x:c r="B72" s="137"/>
      <x:c r="C72" s="137"/>
      <x:c r="D72" s="137"/>
      <x:c r="E72" s="137"/>
      <x:c r="F72" s="137"/>
      <x:c r="G72" s="137"/>
      <x:c r="H72" s="137"/>
      <x:c r="I72" s="137"/>
      <x:c r="J72" s="137"/>
      <x:c r="K72" s="137"/>
      <x:c r="L72" s="137"/>
      <x:c r="M72" s="137"/>
      <x:c r="N72" s="137"/>
      <x:c r="O72" s="137"/>
      <x:c r="P72" s="137"/>
      <x:c r="Q72" s="137"/>
      <x:c r="R72" s="137"/>
      <x:c r="S72" s="137"/>
      <x:c r="T72" s="137"/>
      <x:c r="U72" s="137"/>
      <x:c r="V72" s="137"/>
      <x:c r="W72" s="137"/>
      <x:c r="X72" s="137"/>
      <x:c r="Y72" s="137"/>
      <x:c r="Z72" s="137"/>
    </x:row>
    <x:row r="73">
      <x:c r="A73" s="137"/>
      <x:c r="B73" s="137"/>
      <x:c r="C73" s="137"/>
      <x:c r="D73" s="137"/>
      <x:c r="E73" s="137"/>
      <x:c r="F73" s="137"/>
      <x:c r="G73" s="137"/>
      <x:c r="H73" s="137"/>
      <x:c r="I73" s="137"/>
      <x:c r="J73" s="137"/>
      <x:c r="K73" s="137"/>
      <x:c r="L73" s="137"/>
      <x:c r="M73" s="137"/>
      <x:c r="N73" s="137"/>
      <x:c r="O73" s="137"/>
      <x:c r="P73" s="137"/>
      <x:c r="Q73" s="137"/>
      <x:c r="R73" s="137"/>
      <x:c r="S73" s="137"/>
      <x:c r="T73" s="137"/>
      <x:c r="U73" s="137"/>
      <x:c r="V73" s="137"/>
      <x:c r="W73" s="137"/>
      <x:c r="X73" s="137"/>
      <x:c r="Y73" s="137"/>
      <x:c r="Z73" s="137"/>
    </x:row>
    <x:row r="74">
      <x:c r="A74" s="137"/>
      <x:c r="B74" s="137"/>
      <x:c r="C74" s="137"/>
      <x:c r="D74" s="137"/>
      <x:c r="E74" s="137"/>
      <x:c r="F74" s="137"/>
      <x:c r="G74" s="137"/>
      <x:c r="H74" s="137"/>
      <x:c r="I74" s="137"/>
      <x:c r="J74" s="137"/>
      <x:c r="K74" s="137"/>
      <x:c r="L74" s="137"/>
      <x:c r="M74" s="137"/>
      <x:c r="N74" s="137"/>
      <x:c r="O74" s="137"/>
      <x:c r="P74" s="137"/>
      <x:c r="Q74" s="137"/>
      <x:c r="R74" s="137"/>
      <x:c r="S74" s="137"/>
      <x:c r="T74" s="137"/>
      <x:c r="U74" s="137"/>
      <x:c r="V74" s="137"/>
      <x:c r="W74" s="137"/>
      <x:c r="X74" s="137"/>
      <x:c r="Y74" s="137"/>
      <x:c r="Z74" s="137"/>
    </x:row>
    <x:row r="75">
      <x:c r="A75" s="137"/>
      <x:c r="B75" s="137"/>
      <x:c r="C75" s="137"/>
      <x:c r="D75" s="137"/>
      <x:c r="E75" s="137"/>
      <x:c r="F75" s="137"/>
      <x:c r="G75" s="137"/>
      <x:c r="H75" s="137"/>
      <x:c r="I75" s="137"/>
      <x:c r="J75" s="137"/>
      <x:c r="K75" s="137"/>
      <x:c r="L75" s="137"/>
      <x:c r="M75" s="137"/>
      <x:c r="N75" s="137"/>
      <x:c r="O75" s="137"/>
      <x:c r="P75" s="137"/>
      <x:c r="Q75" s="137"/>
      <x:c r="R75" s="137"/>
      <x:c r="S75" s="137"/>
      <x:c r="T75" s="137"/>
      <x:c r="U75" s="137"/>
      <x:c r="V75" s="137"/>
      <x:c r="W75" s="137"/>
      <x:c r="X75" s="137"/>
      <x:c r="Y75" s="137"/>
      <x:c r="Z75" s="137"/>
    </x:row>
    <x:row r="76">
      <x:c r="A76" s="137"/>
      <x:c r="B76" s="137"/>
      <x:c r="C76" s="137"/>
      <x:c r="D76" s="137"/>
      <x:c r="E76" s="137"/>
      <x:c r="F76" s="137"/>
      <x:c r="G76" s="137"/>
      <x:c r="H76" s="137"/>
      <x:c r="I76" s="137"/>
      <x:c r="J76" s="137"/>
      <x:c r="K76" s="137"/>
      <x:c r="L76" s="137"/>
      <x:c r="M76" s="137"/>
      <x:c r="N76" s="137"/>
      <x:c r="O76" s="137"/>
      <x:c r="P76" s="137"/>
      <x:c r="Q76" s="137"/>
      <x:c r="R76" s="137"/>
      <x:c r="S76" s="137"/>
      <x:c r="T76" s="137"/>
      <x:c r="U76" s="137"/>
      <x:c r="V76" s="137"/>
      <x:c r="W76" s="137"/>
      <x:c r="X76" s="137"/>
      <x:c r="Y76" s="137"/>
      <x:c r="Z76" s="137"/>
    </x:row>
    <x:row r="77">
      <x:c r="A77" s="137"/>
      <x:c r="B77" s="137"/>
      <x:c r="C77" s="137"/>
      <x:c r="D77" s="137"/>
      <x:c r="E77" s="137"/>
      <x:c r="F77" s="137"/>
      <x:c r="G77" s="137"/>
      <x:c r="H77" s="137"/>
      <x:c r="I77" s="137"/>
      <x:c r="J77" s="137"/>
      <x:c r="K77" s="137"/>
      <x:c r="L77" s="137"/>
      <x:c r="M77" s="137"/>
      <x:c r="N77" s="137"/>
      <x:c r="O77" s="137"/>
      <x:c r="P77" s="137"/>
      <x:c r="Q77" s="137"/>
      <x:c r="R77" s="137"/>
      <x:c r="S77" s="137"/>
      <x:c r="T77" s="137"/>
      <x:c r="U77" s="137"/>
      <x:c r="V77" s="137"/>
      <x:c r="W77" s="137"/>
      <x:c r="X77" s="137"/>
      <x:c r="Y77" s="137"/>
      <x:c r="Z77" s="137"/>
    </x:row>
    <x:row r="78">
      <x:c r="A78" s="137"/>
      <x:c r="B78" s="137"/>
      <x:c r="C78" s="137"/>
      <x:c r="D78" s="137"/>
      <x:c r="E78" s="137"/>
      <x:c r="F78" s="137"/>
      <x:c r="G78" s="137"/>
      <x:c r="H78" s="137"/>
      <x:c r="I78" s="137"/>
      <x:c r="J78" s="137"/>
      <x:c r="K78" s="137"/>
      <x:c r="L78" s="137"/>
      <x:c r="M78" s="137"/>
      <x:c r="N78" s="137"/>
      <x:c r="O78" s="137"/>
      <x:c r="P78" s="137"/>
      <x:c r="Q78" s="137"/>
      <x:c r="R78" s="137"/>
      <x:c r="S78" s="137"/>
      <x:c r="T78" s="137"/>
      <x:c r="U78" s="137"/>
      <x:c r="V78" s="137"/>
      <x:c r="W78" s="137"/>
      <x:c r="X78" s="137"/>
      <x:c r="Y78" s="137"/>
      <x:c r="Z78" s="137"/>
    </x:row>
    <x:row r="79">
      <x:c r="A79" s="137"/>
      <x:c r="B79" s="137"/>
      <x:c r="C79" s="137"/>
      <x:c r="D79" s="137"/>
      <x:c r="E79" s="137"/>
      <x:c r="F79" s="137"/>
      <x:c r="G79" s="137"/>
      <x:c r="H79" s="137"/>
      <x:c r="I79" s="137"/>
      <x:c r="J79" s="137"/>
      <x:c r="K79" s="137"/>
      <x:c r="L79" s="137"/>
      <x:c r="M79" s="137"/>
      <x:c r="N79" s="137"/>
      <x:c r="O79" s="137"/>
      <x:c r="P79" s="137"/>
      <x:c r="Q79" s="137"/>
      <x:c r="R79" s="137"/>
      <x:c r="S79" s="137"/>
      <x:c r="T79" s="137"/>
      <x:c r="U79" s="137"/>
      <x:c r="V79" s="137"/>
      <x:c r="W79" s="137"/>
      <x:c r="X79" s="137"/>
      <x:c r="Y79" s="137"/>
      <x:c r="Z79" s="137"/>
    </x:row>
    <x:row r="80">
      <x:c r="A80" s="137"/>
      <x:c r="B80" s="137"/>
      <x:c r="C80" s="137"/>
      <x:c r="D80" s="137"/>
      <x:c r="E80" s="137"/>
      <x:c r="F80" s="137"/>
      <x:c r="G80" s="137"/>
      <x:c r="H80" s="137"/>
      <x:c r="I80" s="137"/>
      <x:c r="J80" s="137"/>
      <x:c r="K80" s="137"/>
      <x:c r="L80" s="137"/>
      <x:c r="M80" s="137"/>
      <x:c r="N80" s="137"/>
      <x:c r="O80" s="137"/>
      <x:c r="P80" s="137"/>
      <x:c r="Q80" s="137"/>
      <x:c r="R80" s="137"/>
      <x:c r="S80" s="137"/>
      <x:c r="T80" s="137"/>
      <x:c r="U80" s="137"/>
      <x:c r="V80" s="137"/>
      <x:c r="W80" s="137"/>
      <x:c r="X80" s="137"/>
      <x:c r="Y80" s="137"/>
      <x:c r="Z80" s="137"/>
    </x:row>
    <x:row r="81">
      <x:c r="A81" s="137"/>
      <x:c r="B81" s="137"/>
      <x:c r="C81" s="137"/>
      <x:c r="D81" s="137"/>
      <x:c r="E81" s="137"/>
      <x:c r="F81" s="137"/>
      <x:c r="G81" s="137"/>
      <x:c r="H81" s="137"/>
      <x:c r="I81" s="137"/>
      <x:c r="J81" s="137"/>
      <x:c r="K81" s="137"/>
      <x:c r="L81" s="137"/>
      <x:c r="M81" s="137"/>
      <x:c r="N81" s="137"/>
      <x:c r="O81" s="137"/>
      <x:c r="P81" s="137"/>
      <x:c r="Q81" s="137"/>
      <x:c r="R81" s="137"/>
      <x:c r="S81" s="137"/>
      <x:c r="T81" s="137"/>
      <x:c r="U81" s="137"/>
      <x:c r="V81" s="137"/>
      <x:c r="W81" s="137"/>
      <x:c r="X81" s="137"/>
      <x:c r="Y81" s="137"/>
      <x:c r="Z81" s="137"/>
    </x:row>
    <x:row r="82">
      <x:c r="A82" s="137"/>
      <x:c r="B82" s="137"/>
      <x:c r="C82" s="137"/>
      <x:c r="D82" s="137"/>
      <x:c r="E82" s="137"/>
      <x:c r="F82" s="137"/>
      <x:c r="G82" s="137"/>
      <x:c r="H82" s="137"/>
      <x:c r="I82" s="137"/>
      <x:c r="J82" s="137"/>
      <x:c r="K82" s="137"/>
      <x:c r="L82" s="137"/>
      <x:c r="M82" s="137"/>
      <x:c r="N82" s="137"/>
      <x:c r="O82" s="137"/>
      <x:c r="P82" s="137"/>
      <x:c r="Q82" s="137"/>
      <x:c r="R82" s="137"/>
      <x:c r="S82" s="137"/>
      <x:c r="T82" s="137"/>
      <x:c r="U82" s="137"/>
      <x:c r="V82" s="137"/>
      <x:c r="W82" s="137"/>
      <x:c r="X82" s="137"/>
      <x:c r="Y82" s="137"/>
      <x:c r="Z82" s="137"/>
    </x:row>
    <x:row r="83">
      <x:c r="A83" s="137"/>
      <x:c r="B83" s="137"/>
      <x:c r="C83" s="137"/>
      <x:c r="D83" s="137"/>
      <x:c r="E83" s="137"/>
      <x:c r="F83" s="137"/>
      <x:c r="G83" s="137"/>
      <x:c r="H83" s="137"/>
      <x:c r="I83" s="137"/>
      <x:c r="J83" s="137"/>
      <x:c r="K83" s="137"/>
      <x:c r="L83" s="137"/>
      <x:c r="M83" s="137"/>
      <x:c r="N83" s="137"/>
      <x:c r="O83" s="137"/>
      <x:c r="P83" s="137"/>
      <x:c r="Q83" s="137"/>
      <x:c r="R83" s="137"/>
      <x:c r="S83" s="137"/>
      <x:c r="T83" s="137"/>
      <x:c r="U83" s="137"/>
      <x:c r="V83" s="137"/>
      <x:c r="W83" s="137"/>
      <x:c r="X83" s="137"/>
      <x:c r="Y83" s="137"/>
      <x:c r="Z83" s="137"/>
    </x:row>
    <x:row r="84">
      <x:c r="A84" s="137"/>
      <x:c r="B84" s="137"/>
      <x:c r="C84" s="137"/>
      <x:c r="D84" s="137"/>
      <x:c r="E84" s="137"/>
      <x:c r="F84" s="137"/>
      <x:c r="G84" s="137"/>
      <x:c r="H84" s="137"/>
      <x:c r="I84" s="137"/>
      <x:c r="J84" s="137"/>
      <x:c r="K84" s="137"/>
      <x:c r="L84" s="137"/>
      <x:c r="M84" s="137"/>
      <x:c r="N84" s="137"/>
      <x:c r="O84" s="137"/>
      <x:c r="P84" s="137"/>
      <x:c r="Q84" s="137"/>
      <x:c r="R84" s="137"/>
      <x:c r="S84" s="137"/>
      <x:c r="T84" s="137"/>
      <x:c r="U84" s="137"/>
      <x:c r="V84" s="137"/>
      <x:c r="W84" s="137"/>
      <x:c r="X84" s="137"/>
      <x:c r="Y84" s="137"/>
      <x:c r="Z84" s="137"/>
    </x:row>
    <x:row r="85">
      <x:c r="A85" s="137"/>
      <x:c r="B85" s="137"/>
      <x:c r="C85" s="137"/>
      <x:c r="D85" s="137"/>
      <x:c r="E85" s="137"/>
      <x:c r="F85" s="137"/>
      <x:c r="G85" s="137"/>
      <x:c r="H85" s="137"/>
      <x:c r="I85" s="137"/>
      <x:c r="J85" s="137"/>
      <x:c r="K85" s="137"/>
      <x:c r="L85" s="137"/>
      <x:c r="M85" s="137"/>
      <x:c r="N85" s="137"/>
      <x:c r="O85" s="137"/>
      <x:c r="P85" s="137"/>
      <x:c r="Q85" s="137"/>
      <x:c r="R85" s="137"/>
      <x:c r="S85" s="137"/>
      <x:c r="T85" s="137"/>
      <x:c r="U85" s="137"/>
      <x:c r="V85" s="137"/>
      <x:c r="W85" s="137"/>
      <x:c r="X85" s="137"/>
      <x:c r="Y85" s="137"/>
      <x:c r="Z85" s="137"/>
    </x:row>
    <x:row r="86">
      <x:c r="A86" s="137"/>
      <x:c r="B86" s="137"/>
      <x:c r="C86" s="137"/>
      <x:c r="D86" s="137"/>
      <x:c r="E86" s="137"/>
      <x:c r="F86" s="137"/>
      <x:c r="G86" s="137"/>
      <x:c r="H86" s="137"/>
      <x:c r="I86" s="137"/>
      <x:c r="J86" s="137"/>
      <x:c r="K86" s="137"/>
      <x:c r="L86" s="137"/>
      <x:c r="M86" s="137"/>
      <x:c r="N86" s="137"/>
      <x:c r="O86" s="137"/>
      <x:c r="P86" s="137"/>
      <x:c r="Q86" s="137"/>
      <x:c r="R86" s="137"/>
      <x:c r="S86" s="137"/>
      <x:c r="T86" s="137"/>
      <x:c r="U86" s="137"/>
      <x:c r="V86" s="137"/>
      <x:c r="W86" s="137"/>
      <x:c r="X86" s="137"/>
      <x:c r="Y86" s="137"/>
      <x:c r="Z86" s="137"/>
    </x:row>
    <x:row r="87">
      <x:c r="A87" s="137"/>
      <x:c r="B87" s="137"/>
      <x:c r="C87" s="137"/>
      <x:c r="D87" s="137"/>
      <x:c r="E87" s="137"/>
      <x:c r="F87" s="137"/>
      <x:c r="G87" s="137"/>
      <x:c r="H87" s="137"/>
      <x:c r="I87" s="137"/>
      <x:c r="J87" s="137"/>
      <x:c r="K87" s="137"/>
      <x:c r="L87" s="137"/>
      <x:c r="M87" s="137"/>
      <x:c r="N87" s="137"/>
      <x:c r="O87" s="137"/>
      <x:c r="P87" s="137"/>
      <x:c r="Q87" s="137"/>
      <x:c r="R87" s="137"/>
      <x:c r="S87" s="137"/>
      <x:c r="T87" s="137"/>
      <x:c r="U87" s="137"/>
      <x:c r="V87" s="137"/>
      <x:c r="W87" s="137"/>
      <x:c r="X87" s="137"/>
      <x:c r="Y87" s="137"/>
      <x:c r="Z87" s="137"/>
    </x:row>
    <x:row r="88">
      <x:c r="A88" s="137"/>
      <x:c r="B88" s="137"/>
      <x:c r="C88" s="137"/>
      <x:c r="D88" s="137"/>
      <x:c r="E88" s="137"/>
      <x:c r="F88" s="137"/>
      <x:c r="G88" s="137"/>
      <x:c r="H88" s="137"/>
      <x:c r="I88" s="137"/>
      <x:c r="J88" s="137"/>
      <x:c r="K88" s="137"/>
      <x:c r="L88" s="137"/>
      <x:c r="M88" s="137"/>
      <x:c r="N88" s="137"/>
      <x:c r="O88" s="137"/>
      <x:c r="P88" s="137"/>
      <x:c r="Q88" s="137"/>
      <x:c r="R88" s="137"/>
      <x:c r="S88" s="137"/>
      <x:c r="T88" s="137"/>
      <x:c r="U88" s="137"/>
      <x:c r="V88" s="137"/>
      <x:c r="W88" s="137"/>
      <x:c r="X88" s="137"/>
      <x:c r="Y88" s="137"/>
      <x:c r="Z88" s="137"/>
    </x:row>
    <x:row r="89">
      <x:c r="A89" s="137"/>
      <x:c r="B89" s="137"/>
      <x:c r="C89" s="137"/>
      <x:c r="D89" s="137"/>
      <x:c r="E89" s="137"/>
      <x:c r="F89" s="137"/>
      <x:c r="G89" s="137"/>
      <x:c r="H89" s="137"/>
      <x:c r="I89" s="137"/>
      <x:c r="J89" s="137"/>
      <x:c r="K89" s="137"/>
      <x:c r="L89" s="137"/>
      <x:c r="M89" s="137"/>
      <x:c r="N89" s="137"/>
      <x:c r="O89" s="137"/>
      <x:c r="P89" s="137"/>
      <x:c r="Q89" s="137"/>
      <x:c r="R89" s="137"/>
      <x:c r="S89" s="137"/>
      <x:c r="T89" s="137"/>
      <x:c r="U89" s="137"/>
      <x:c r="V89" s="137"/>
      <x:c r="W89" s="137"/>
      <x:c r="X89" s="137"/>
      <x:c r="Y89" s="137"/>
      <x:c r="Z89" s="137"/>
    </x:row>
    <x:row r="90">
      <x:c r="A90" s="137"/>
      <x:c r="B90" s="137"/>
      <x:c r="C90" s="137"/>
      <x:c r="D90" s="137"/>
      <x:c r="E90" s="137"/>
      <x:c r="F90" s="137"/>
      <x:c r="G90" s="137"/>
      <x:c r="H90" s="137"/>
      <x:c r="I90" s="137"/>
      <x:c r="J90" s="137"/>
      <x:c r="K90" s="137"/>
      <x:c r="L90" s="137"/>
      <x:c r="M90" s="137"/>
      <x:c r="N90" s="137"/>
      <x:c r="O90" s="137"/>
      <x:c r="P90" s="137"/>
      <x:c r="Q90" s="137"/>
      <x:c r="R90" s="137"/>
      <x:c r="S90" s="137"/>
      <x:c r="T90" s="137"/>
      <x:c r="U90" s="137"/>
      <x:c r="V90" s="137"/>
      <x:c r="W90" s="137"/>
      <x:c r="X90" s="137"/>
      <x:c r="Y90" s="137"/>
      <x:c r="Z90" s="137"/>
    </x:row>
    <x:row r="91">
      <x:c r="A91" s="137"/>
      <x:c r="B91" s="137"/>
      <x:c r="C91" s="137"/>
      <x:c r="D91" s="137"/>
      <x:c r="E91" s="137"/>
      <x:c r="F91" s="137"/>
      <x:c r="G91" s="137"/>
      <x:c r="H91" s="137"/>
      <x:c r="I91" s="137"/>
      <x:c r="J91" s="137"/>
      <x:c r="K91" s="137"/>
      <x:c r="L91" s="137"/>
      <x:c r="M91" s="137"/>
      <x:c r="N91" s="137"/>
      <x:c r="O91" s="137"/>
      <x:c r="P91" s="137"/>
      <x:c r="Q91" s="137"/>
      <x:c r="R91" s="137"/>
      <x:c r="S91" s="137"/>
      <x:c r="T91" s="137"/>
      <x:c r="U91" s="137"/>
      <x:c r="V91" s="137"/>
      <x:c r="W91" s="137"/>
      <x:c r="X91" s="137"/>
      <x:c r="Y91" s="137"/>
      <x:c r="Z91" s="137"/>
    </x:row>
    <x:row r="92">
      <x:c r="A92" s="137"/>
      <x:c r="B92" s="137"/>
      <x:c r="C92" s="137"/>
      <x:c r="D92" s="137"/>
      <x:c r="E92" s="137"/>
      <x:c r="F92" s="137"/>
      <x:c r="G92" s="137"/>
      <x:c r="H92" s="137"/>
      <x:c r="I92" s="137"/>
      <x:c r="J92" s="137"/>
      <x:c r="K92" s="137"/>
      <x:c r="L92" s="137"/>
      <x:c r="M92" s="137"/>
      <x:c r="N92" s="137"/>
      <x:c r="O92" s="137"/>
      <x:c r="P92" s="137"/>
      <x:c r="Q92" s="137"/>
      <x:c r="R92" s="137"/>
      <x:c r="S92" s="137"/>
      <x:c r="T92" s="137"/>
      <x:c r="U92" s="137"/>
      <x:c r="V92" s="137"/>
      <x:c r="W92" s="137"/>
      <x:c r="X92" s="137"/>
      <x:c r="Y92" s="137"/>
      <x:c r="Z92" s="137"/>
    </x:row>
    <x:row r="93">
      <x:c r="A93" s="137"/>
      <x:c r="B93" s="137"/>
      <x:c r="C93" s="137"/>
      <x:c r="D93" s="137"/>
      <x:c r="E93" s="137"/>
      <x:c r="F93" s="137"/>
      <x:c r="G93" s="137"/>
      <x:c r="H93" s="137"/>
      <x:c r="I93" s="137"/>
      <x:c r="J93" s="137"/>
      <x:c r="K93" s="137"/>
      <x:c r="L93" s="137"/>
      <x:c r="M93" s="137"/>
      <x:c r="N93" s="137"/>
      <x:c r="O93" s="137"/>
      <x:c r="P93" s="137"/>
      <x:c r="Q93" s="137"/>
      <x:c r="R93" s="137"/>
      <x:c r="S93" s="137"/>
      <x:c r="T93" s="137"/>
      <x:c r="U93" s="137"/>
      <x:c r="V93" s="137"/>
      <x:c r="W93" s="137"/>
      <x:c r="X93" s="137"/>
      <x:c r="Y93" s="137"/>
      <x:c r="Z93" s="137"/>
    </x:row>
    <x:row r="94">
      <x:c r="A94" s="137"/>
      <x:c r="B94" s="137"/>
      <x:c r="C94" s="137"/>
      <x:c r="D94" s="137"/>
      <x:c r="E94" s="137"/>
      <x:c r="F94" s="137"/>
      <x:c r="G94" s="137"/>
      <x:c r="H94" s="137"/>
      <x:c r="I94" s="137"/>
      <x:c r="J94" s="137"/>
      <x:c r="K94" s="137"/>
      <x:c r="L94" s="137"/>
      <x:c r="M94" s="137"/>
      <x:c r="N94" s="137"/>
      <x:c r="O94" s="137"/>
      <x:c r="P94" s="137"/>
      <x:c r="Q94" s="137"/>
      <x:c r="R94" s="137"/>
      <x:c r="S94" s="137"/>
      <x:c r="T94" s="137"/>
      <x:c r="U94" s="137"/>
      <x:c r="V94" s="137"/>
      <x:c r="W94" s="137"/>
      <x:c r="X94" s="137"/>
      <x:c r="Y94" s="137"/>
      <x:c r="Z94" s="137"/>
    </x:row>
    <x:row r="95">
      <x:c r="A95" s="137"/>
      <x:c r="B95" s="137"/>
      <x:c r="C95" s="137"/>
      <x:c r="D95" s="137"/>
      <x:c r="E95" s="137"/>
      <x:c r="F95" s="137"/>
      <x:c r="G95" s="137"/>
      <x:c r="H95" s="137"/>
      <x:c r="I95" s="137"/>
      <x:c r="J95" s="137"/>
      <x:c r="K95" s="137"/>
      <x:c r="L95" s="137"/>
      <x:c r="M95" s="137"/>
      <x:c r="N95" s="137"/>
      <x:c r="O95" s="137"/>
      <x:c r="P95" s="137"/>
      <x:c r="Q95" s="137"/>
      <x:c r="R95" s="137"/>
      <x:c r="S95" s="137"/>
      <x:c r="T95" s="137"/>
      <x:c r="U95" s="137"/>
      <x:c r="V95" s="137"/>
      <x:c r="W95" s="137"/>
      <x:c r="X95" s="137"/>
      <x:c r="Y95" s="137"/>
      <x:c r="Z95" s="137"/>
    </x:row>
    <x:row r="96">
      <x:c r="A96" s="137"/>
      <x:c r="B96" s="137"/>
      <x:c r="C96" s="137"/>
      <x:c r="D96" s="137"/>
      <x:c r="E96" s="137"/>
      <x:c r="F96" s="137"/>
      <x:c r="G96" s="137"/>
      <x:c r="H96" s="137"/>
      <x:c r="I96" s="137"/>
      <x:c r="J96" s="137"/>
      <x:c r="K96" s="137"/>
      <x:c r="L96" s="137"/>
      <x:c r="M96" s="137"/>
      <x:c r="N96" s="137"/>
      <x:c r="O96" s="137"/>
      <x:c r="P96" s="137"/>
      <x:c r="Q96" s="137"/>
      <x:c r="R96" s="137"/>
      <x:c r="S96" s="137"/>
      <x:c r="T96" s="137"/>
      <x:c r="U96" s="137"/>
      <x:c r="V96" s="137"/>
      <x:c r="W96" s="137"/>
      <x:c r="X96" s="137"/>
      <x:c r="Y96" s="137"/>
      <x:c r="Z96" s="137"/>
    </x:row>
    <x:row r="97">
      <x:c r="A97" s="137"/>
      <x:c r="B97" s="137"/>
      <x:c r="C97" s="137"/>
      <x:c r="D97" s="137"/>
      <x:c r="E97" s="137"/>
      <x:c r="F97" s="137"/>
      <x:c r="G97" s="137"/>
      <x:c r="H97" s="137"/>
      <x:c r="I97" s="137"/>
      <x:c r="J97" s="137"/>
      <x:c r="K97" s="137"/>
      <x:c r="L97" s="137"/>
      <x:c r="M97" s="137"/>
      <x:c r="N97" s="137"/>
      <x:c r="O97" s="137"/>
      <x:c r="P97" s="137"/>
      <x:c r="Q97" s="137"/>
      <x:c r="R97" s="137"/>
      <x:c r="S97" s="137"/>
      <x:c r="T97" s="137"/>
      <x:c r="U97" s="137"/>
      <x:c r="V97" s="137"/>
      <x:c r="W97" s="137"/>
      <x:c r="X97" s="137"/>
      <x:c r="Y97" s="137"/>
      <x:c r="Z97" s="137"/>
    </x:row>
    <x:row r="98">
      <x:c r="A98" s="137"/>
      <x:c r="B98" s="137"/>
      <x:c r="C98" s="137"/>
      <x:c r="D98" s="137"/>
      <x:c r="E98" s="137"/>
      <x:c r="F98" s="137"/>
      <x:c r="G98" s="137"/>
      <x:c r="H98" s="137"/>
      <x:c r="I98" s="137"/>
      <x:c r="J98" s="137"/>
      <x:c r="K98" s="137"/>
      <x:c r="L98" s="137"/>
      <x:c r="M98" s="137"/>
      <x:c r="N98" s="137"/>
      <x:c r="O98" s="137"/>
      <x:c r="P98" s="137"/>
      <x:c r="Q98" s="137"/>
      <x:c r="R98" s="137"/>
      <x:c r="S98" s="137"/>
      <x:c r="T98" s="137"/>
      <x:c r="U98" s="137"/>
      <x:c r="V98" s="137"/>
      <x:c r="W98" s="137"/>
      <x:c r="X98" s="137"/>
      <x:c r="Y98" s="137"/>
      <x:c r="Z98" s="137"/>
    </x:row>
    <x:row r="99">
      <x:c r="A99" s="137"/>
      <x:c r="B99" s="137"/>
      <x:c r="C99" s="137"/>
      <x:c r="D99" s="137"/>
      <x:c r="E99" s="137"/>
      <x:c r="F99" s="137"/>
      <x:c r="G99" s="137"/>
      <x:c r="H99" s="137"/>
      <x:c r="I99" s="137"/>
      <x:c r="J99" s="137"/>
      <x:c r="K99" s="137"/>
      <x:c r="L99" s="137"/>
      <x:c r="M99" s="137"/>
      <x:c r="N99" s="137"/>
      <x:c r="O99" s="137"/>
      <x:c r="P99" s="137"/>
      <x:c r="Q99" s="137"/>
      <x:c r="R99" s="137"/>
      <x:c r="S99" s="137"/>
      <x:c r="T99" s="137"/>
      <x:c r="U99" s="137"/>
      <x:c r="V99" s="137"/>
      <x:c r="W99" s="137"/>
      <x:c r="X99" s="137"/>
      <x:c r="Y99" s="137"/>
      <x:c r="Z99" s="137"/>
    </x:row>
    <x:row r="100">
      <x:c r="A100" s="137"/>
      <x:c r="B100" s="137"/>
      <x:c r="C100" s="137"/>
      <x:c r="D100" s="137"/>
      <x:c r="E100" s="137"/>
      <x:c r="F100" s="137"/>
      <x:c r="G100" s="137"/>
      <x:c r="H100" s="137"/>
      <x:c r="I100" s="137"/>
      <x:c r="J100" s="137"/>
      <x:c r="K100" s="137"/>
      <x:c r="L100" s="137"/>
      <x:c r="M100" s="137"/>
      <x:c r="N100" s="137"/>
      <x:c r="O100" s="137"/>
      <x:c r="P100" s="137"/>
      <x:c r="Q100" s="137"/>
      <x:c r="R100" s="137"/>
      <x:c r="S100" s="137"/>
      <x:c r="T100" s="137"/>
      <x:c r="U100" s="137"/>
      <x:c r="V100" s="137"/>
      <x:c r="W100" s="137"/>
      <x:c r="X100" s="137"/>
      <x:c r="Y100" s="137"/>
      <x:c r="Z100" s="137"/>
    </x:row>
  </x:sheetData>
  <x:mergeCells>
    <x:mergeCell ref="A1:D1"/>
  </x:mergeCells>
  <x:pageMargins left="0.7" right="0.7" top="0.75" bottom="0.75" header="0.3" footer="0.3"/>
</x:worksheet>
</file>